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Work\winspeed-frontend\refs\"/>
    </mc:Choice>
  </mc:AlternateContent>
  <xr:revisionPtr revIDLastSave="0" documentId="8_{A9EB4FA4-C529-4015-A87F-124E7361E6A3}" xr6:coauthVersionLast="47" xr6:coauthVersionMax="47" xr10:uidLastSave="{00000000-0000-0000-0000-000000000000}"/>
  <bookViews>
    <workbookView xWindow="-120" yWindow="-120" windowWidth="29040" windowHeight="17520" firstSheet="1" activeTab="1" xr2:uid="{E0DA2F28-8D6F-4305-8D2A-D34859ED5A7E}"/>
  </bookViews>
  <sheets>
    <sheet name="Data" sheetId="18" state="hidden" r:id="rId1"/>
    <sheet name="ภาคเหนือ ปี69 " sheetId="16" r:id="rId2"/>
    <sheet name="ภาคกลาง ปี69" sheetId="19" r:id="rId3"/>
    <sheet name="ภาคตะวันออก ปี69" sheetId="20" r:id="rId4"/>
    <sheet name="ภาคอีสานกลาง ปี69" sheetId="23" r:id="rId5"/>
    <sheet name="ภาคใต้ ปี69" sheetId="21" r:id="rId6"/>
    <sheet name="ภาคอีสานบน ปี69" sheetId="22" r:id="rId7"/>
    <sheet name="ภาคอีสานล่าง ปี69" sheetId="24" r:id="rId8"/>
    <sheet name="ภาคปุ๋ยเทพ 1 ปี69" sheetId="25" r:id="rId9"/>
    <sheet name="ภาคปุ๋ยเทพ 2 ปี69" sheetId="26" r:id="rId10"/>
    <sheet name="อุตสาหกรรม-ราชการ  ปี69" sheetId="29" r:id="rId11"/>
  </sheets>
  <definedNames>
    <definedName name="ตรา">Data!$A:$A</definedName>
    <definedName name="ปุ๋ยเทพ">Data!$C:$C</definedName>
    <definedName name="รถเกษตร">Data!$B:$B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6" l="1"/>
  <c r="E12" i="16"/>
  <c r="D13" i="16"/>
  <c r="E13" i="16"/>
  <c r="D11" i="16"/>
  <c r="E11" i="16"/>
  <c r="D10" i="16"/>
  <c r="E10" i="16"/>
  <c r="D14" i="16"/>
  <c r="E14" i="16"/>
  <c r="D21" i="26"/>
  <c r="D20" i="22"/>
  <c r="D13" i="19"/>
  <c r="E13" i="19"/>
  <c r="D10" i="25"/>
  <c r="E10" i="25"/>
  <c r="D12" i="26"/>
  <c r="E12" i="26"/>
  <c r="D11" i="19"/>
  <c r="E11" i="19"/>
  <c r="D9" i="16"/>
  <c r="E9" i="16"/>
  <c r="D15" i="24"/>
  <c r="E15" i="24"/>
  <c r="D14" i="24"/>
  <c r="E14" i="24"/>
  <c r="D13" i="24"/>
  <c r="E13" i="24"/>
  <c r="D12" i="19"/>
  <c r="E12" i="19"/>
  <c r="D13" i="23"/>
  <c r="E13" i="23"/>
  <c r="D12" i="22"/>
  <c r="E12" i="22"/>
  <c r="D11" i="22"/>
  <c r="E11" i="22"/>
  <c r="C14" i="29"/>
  <c r="D11" i="29"/>
  <c r="E11" i="29"/>
  <c r="D10" i="29"/>
  <c r="E10" i="29"/>
  <c r="D9" i="29"/>
  <c r="E9" i="29"/>
  <c r="D8" i="29"/>
  <c r="E8" i="29"/>
  <c r="D7" i="29"/>
  <c r="E7" i="29"/>
  <c r="D6" i="29"/>
  <c r="D14" i="29"/>
  <c r="D6" i="20"/>
  <c r="E6" i="20"/>
  <c r="D8" i="16"/>
  <c r="E8" i="16"/>
  <c r="D7" i="16"/>
  <c r="E7" i="16"/>
  <c r="D6" i="16"/>
  <c r="E6" i="16"/>
  <c r="D11" i="26"/>
  <c r="E11" i="26"/>
  <c r="D10" i="26"/>
  <c r="E10" i="26"/>
  <c r="D9" i="26"/>
  <c r="E9" i="26"/>
  <c r="D8" i="26"/>
  <c r="E8" i="26"/>
  <c r="C15" i="26"/>
  <c r="D7" i="26"/>
  <c r="E7" i="26"/>
  <c r="D6" i="26"/>
  <c r="E6" i="26"/>
  <c r="D8" i="25"/>
  <c r="E8" i="25"/>
  <c r="D7" i="25"/>
  <c r="E7" i="25"/>
  <c r="D6" i="25"/>
  <c r="E6" i="25"/>
  <c r="C13" i="25"/>
  <c r="D9" i="25"/>
  <c r="E9" i="25"/>
  <c r="D12" i="24"/>
  <c r="E12" i="24"/>
  <c r="D11" i="24"/>
  <c r="E11" i="24"/>
  <c r="D10" i="20"/>
  <c r="E10" i="20"/>
  <c r="D11" i="20"/>
  <c r="E11" i="20"/>
  <c r="D11" i="23"/>
  <c r="E11" i="23"/>
  <c r="D9" i="22"/>
  <c r="E9" i="22"/>
  <c r="D10" i="24"/>
  <c r="E10" i="24"/>
  <c r="D8" i="24"/>
  <c r="E8" i="24"/>
  <c r="D9" i="24"/>
  <c r="E9" i="24"/>
  <c r="D7" i="24"/>
  <c r="E7" i="24"/>
  <c r="D6" i="24"/>
  <c r="D19" i="24"/>
  <c r="C19" i="24"/>
  <c r="D12" i="23"/>
  <c r="E12" i="23"/>
  <c r="D10" i="23"/>
  <c r="E10" i="23"/>
  <c r="D9" i="23"/>
  <c r="E9" i="23"/>
  <c r="D8" i="23"/>
  <c r="E8" i="23"/>
  <c r="D7" i="23"/>
  <c r="E7" i="23"/>
  <c r="D6" i="23"/>
  <c r="D17" i="23"/>
  <c r="C17" i="23"/>
  <c r="D9" i="21"/>
  <c r="E9" i="21"/>
  <c r="D10" i="22"/>
  <c r="E10" i="22"/>
  <c r="D8" i="22"/>
  <c r="E8" i="22"/>
  <c r="D7" i="22"/>
  <c r="E7" i="22"/>
  <c r="D6" i="22"/>
  <c r="E6" i="22"/>
  <c r="E14" i="22"/>
  <c r="C14" i="22"/>
  <c r="D8" i="21"/>
  <c r="E8" i="21"/>
  <c r="D7" i="21"/>
  <c r="E7" i="21"/>
  <c r="D6" i="21"/>
  <c r="E6" i="21"/>
  <c r="D12" i="20"/>
  <c r="E12" i="20"/>
  <c r="D9" i="20"/>
  <c r="E9" i="20"/>
  <c r="D8" i="20"/>
  <c r="E8" i="20"/>
  <c r="C12" i="21"/>
  <c r="D6" i="19"/>
  <c r="D7" i="20"/>
  <c r="E7" i="20"/>
  <c r="C15" i="20"/>
  <c r="C15" i="19"/>
  <c r="D7" i="19"/>
  <c r="D8" i="19"/>
  <c r="E8" i="19"/>
  <c r="D9" i="19"/>
  <c r="E9" i="19"/>
  <c r="D10" i="19"/>
  <c r="E10" i="19"/>
  <c r="C16" i="16"/>
  <c r="E6" i="29"/>
  <c r="E14" i="29"/>
  <c r="E6" i="19"/>
  <c r="D14" i="22"/>
  <c r="D12" i="21"/>
  <c r="E12" i="21"/>
  <c r="E6" i="23"/>
  <c r="E17" i="23"/>
  <c r="E15" i="20"/>
  <c r="D15" i="20"/>
  <c r="D15" i="19"/>
  <c r="E7" i="19"/>
  <c r="E15" i="19"/>
  <c r="E16" i="16"/>
  <c r="D16" i="16"/>
  <c r="E6" i="24"/>
  <c r="E19" i="24"/>
  <c r="E13" i="25"/>
  <c r="D13" i="25"/>
  <c r="E15" i="26"/>
  <c r="D15" i="26"/>
</calcChain>
</file>

<file path=xl/sharedStrings.xml><?xml version="1.0" encoding="utf-8"?>
<sst xmlns="http://schemas.openxmlformats.org/spreadsheetml/2006/main" count="451" uniqueCount="117">
  <si>
    <t>จ่ายออก</t>
  </si>
  <si>
    <t>ปุ๋ยเทพ</t>
  </si>
  <si>
    <t>รถเกษตร</t>
  </si>
  <si>
    <t xml:space="preserve">                </t>
  </si>
  <si>
    <t>งบ</t>
  </si>
  <si>
    <t>เบิกไปแล้ว</t>
  </si>
  <si>
    <t>สรุปการเบิกภาคเหนือ งบส่งเสริมการขาย ปี 69</t>
  </si>
  <si>
    <t>16-8-8</t>
  </si>
  <si>
    <t>20-8-8</t>
  </si>
  <si>
    <t>30-0-0</t>
  </si>
  <si>
    <t>เสื้อยืดแขนยาว</t>
  </si>
  <si>
    <t>ตรา</t>
  </si>
  <si>
    <t>9-5-9</t>
  </si>
  <si>
    <t>10-3-30</t>
  </si>
  <si>
    <t>10-5-5</t>
  </si>
  <si>
    <t>13-3-23</t>
  </si>
  <si>
    <t>12-4-26</t>
  </si>
  <si>
    <t>14-3-3</t>
  </si>
  <si>
    <t>12-3-5</t>
  </si>
  <si>
    <t>15-5-20</t>
  </si>
  <si>
    <t>12-4-40</t>
  </si>
  <si>
    <t>15-5-25</t>
  </si>
  <si>
    <t>13-3-21</t>
  </si>
  <si>
    <t>15-10-30</t>
  </si>
  <si>
    <t>13-3-27</t>
  </si>
  <si>
    <t>13-8-35</t>
  </si>
  <si>
    <t>18-7-7</t>
  </si>
  <si>
    <t>13-13-21</t>
  </si>
  <si>
    <t>18-8-8</t>
  </si>
  <si>
    <t>14-4-9</t>
  </si>
  <si>
    <t>20-5-3</t>
  </si>
  <si>
    <t>14-4-24</t>
  </si>
  <si>
    <t>14-7-35</t>
  </si>
  <si>
    <t>21-4-4</t>
  </si>
  <si>
    <t>15-3-3</t>
  </si>
  <si>
    <t>23-4-24</t>
  </si>
  <si>
    <t>25-5-18</t>
  </si>
  <si>
    <t>15-5-35</t>
  </si>
  <si>
    <t>15-7-18</t>
  </si>
  <si>
    <t>30-11-5</t>
  </si>
  <si>
    <t>15-8-20</t>
  </si>
  <si>
    <t>36-0-0</t>
  </si>
  <si>
    <t>40-0-0</t>
  </si>
  <si>
    <t>15-15-15</t>
  </si>
  <si>
    <t>0-0-60</t>
  </si>
  <si>
    <t>16-3-8</t>
  </si>
  <si>
    <t>16-20-0 COM</t>
  </si>
  <si>
    <t>16-4-6</t>
  </si>
  <si>
    <t>18-46-0</t>
  </si>
  <si>
    <t>21-0-0</t>
  </si>
  <si>
    <t>16-16-8</t>
  </si>
  <si>
    <t>46-0-0</t>
  </si>
  <si>
    <t>16-20-0 BB</t>
  </si>
  <si>
    <t>ซากปุ๋ย</t>
  </si>
  <si>
    <t>17-5-3</t>
  </si>
  <si>
    <t>18-4-5</t>
  </si>
  <si>
    <t>18-4-8</t>
  </si>
  <si>
    <t>19-6-6</t>
  </si>
  <si>
    <t>20-5-5</t>
  </si>
  <si>
    <t>20-5-28</t>
  </si>
  <si>
    <t>20-8-20</t>
  </si>
  <si>
    <t>20-10-12</t>
  </si>
  <si>
    <t>21-7-18</t>
  </si>
  <si>
    <t>22-6-4</t>
  </si>
  <si>
    <t>22-13-18</t>
  </si>
  <si>
    <t>25-7-7</t>
  </si>
  <si>
    <t>27-12-6</t>
  </si>
  <si>
    <t>28-10-10</t>
  </si>
  <si>
    <t>29-5-18</t>
  </si>
  <si>
    <t>Magnesium</t>
  </si>
  <si>
    <t>Boron</t>
  </si>
  <si>
    <t>Filler</t>
  </si>
  <si>
    <t>รายการเบิก</t>
  </si>
  <si>
    <t>เดือน</t>
  </si>
  <si>
    <t>สรุปการเบิกภาคกลาง งบส่งเสริมการขาย ปี 69</t>
  </si>
  <si>
    <t>สรุปการเบิกภาคใต้ งบส่งเสริมการขาย ปี 69</t>
  </si>
  <si>
    <t>สรุปการเบิกภาคตะวันออก งบส่งเสริมการขาย ปี 69</t>
  </si>
  <si>
    <t>สรุปการเบิกภาคอีสานบน งบส่งเสริมการขาย ปี 69</t>
  </si>
  <si>
    <t>สรุปการเบิกภาคอีสานกลาง งบส่งเสริมการขาย ปี 69</t>
  </si>
  <si>
    <t>สรุปการเบิกภาคอีสานล่าง งบส่งเสริมการขาย ปี 69</t>
  </si>
  <si>
    <t>สรุปการเบิกภาคปุ๋ยเทพ 1 งบส่งเสริมการขาย ปี 69</t>
  </si>
  <si>
    <t>สรุปการเบิกภาคปุ๋ยเทพ 2 งบส่งเสริมการขาย ปี 69</t>
  </si>
  <si>
    <t>EMP-00035</t>
  </si>
  <si>
    <t>รหัสพนักงาน</t>
  </si>
  <si>
    <t>นายชูชาติ ชมภูวิจิตร (เอก)</t>
  </si>
  <si>
    <t>นายเดโช จินดาจำนง (เบส)</t>
  </si>
  <si>
    <t>EMP-00034</t>
  </si>
  <si>
    <t>นายศรายุทธ จันทร์ป้อง (อาร์ม)</t>
  </si>
  <si>
    <t>EMP-00027</t>
  </si>
  <si>
    <t>นายสมะแอน มูหำหมัด(แอน)</t>
  </si>
  <si>
    <t>EMP-00037</t>
  </si>
  <si>
    <t>นายชัยชนะ เนาะวราช (อุ้ม)</t>
  </si>
  <si>
    <t>EMP-00041</t>
  </si>
  <si>
    <t>นายมนัส ธรรมรัง(ตั๊ก)</t>
  </si>
  <si>
    <t>EMP-00036</t>
  </si>
  <si>
    <t>นายต้นฉัตร เสนาวัตร(ต้น)</t>
  </si>
  <si>
    <t>EMP-00042</t>
  </si>
  <si>
    <t>นายชนะชัย สิมมา(นะ)</t>
  </si>
  <si>
    <t>EMP-00053</t>
  </si>
  <si>
    <t>นายบุญฤทธิ์ ทองจันทร์(ดอน)</t>
  </si>
  <si>
    <t>EMP-00024</t>
  </si>
  <si>
    <t>EMP-00021</t>
  </si>
  <si>
    <t>นายจักพงษ์ เณรจิตย์(โอ๋)</t>
  </si>
  <si>
    <t>สรุปการเบิกอุตสาหกรรม/ราชการ  งบส่งเสริมการขาย ปี 69</t>
  </si>
  <si>
    <t>คงเหลือ</t>
  </si>
  <si>
    <t>แบนเนอร์</t>
  </si>
  <si>
    <t>กระเป๋าใบใหญ่</t>
  </si>
  <si>
    <t>โบว์ชัวส์ ยางพารา</t>
  </si>
  <si>
    <t>แบนเนอร์ตรารถเกษตร</t>
  </si>
  <si>
    <t>แบนเนอร์ รถเกษตร</t>
  </si>
  <si>
    <t>แบนเนอร์ ปุ๋ยเทพ</t>
  </si>
  <si>
    <t>หมายเหตุ</t>
  </si>
  <si>
    <t>เดโช</t>
  </si>
  <si>
    <t>สมะแอน</t>
  </si>
  <si>
    <t>ชัยชนะ</t>
  </si>
  <si>
    <t>มนัส</t>
  </si>
  <si>
    <t>ศรายุทธ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</si>
</sst>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* #,##0.00_-;\-* #,##0.00_-;_-* &quot;-&quot;??_-;_-@_-"/>
  </numFmts>
  <fonts count="10">
    <font>
      <sz val="10"/>
      <name val="Arial"/>
      <charset val="222"/>
    </font>
    <font>
      <sz val="10"/>
      <name val="Arial"/>
      <charset val="222"/>
    </font>
    <font>
      <sz val="8"/>
      <name val="Arial"/>
      <family val="2"/>
    </font>
    <font>
      <sz val="16"/>
      <name val="Angsana New"/>
      <family val="1"/>
    </font>
    <font>
      <b/>
      <sz val="16"/>
      <name val="Angsana New"/>
      <family val="1"/>
    </font>
    <font>
      <sz val="8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rgb="FFFF0000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4" fontId="3" fillId="0" borderId="0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7" fillId="0" borderId="0" xfId="0" applyNumberFormat="1" applyFont="1" applyBorder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0" fontId="3" fillId="0" borderId="0" xfId="0" applyFont="1"/>
    <xf numFmtId="0" fontId="3" fillId="0" borderId="0" xfId="0" applyFont="1" applyBorder="1"/>
    <xf numFmtId="3" fontId="3" fillId="0" borderId="0" xfId="0" applyNumberFormat="1" applyFont="1"/>
    <xf numFmtId="4" fontId="3" fillId="0" borderId="0" xfId="0" applyNumberFormat="1" applyFont="1"/>
    <xf numFmtId="4" fontId="3" fillId="0" borderId="2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/>
    <xf numFmtId="49" fontId="6" fillId="3" borderId="0" xfId="0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3" fillId="0" borderId="3" xfId="0" applyNumberFormat="1" applyFont="1" applyBorder="1" applyAlignment="1">
      <alignment vertical="center"/>
    </xf>
    <xf numFmtId="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" fontId="3" fillId="0" borderId="6" xfId="0" applyNumberFormat="1" applyFont="1" applyBorder="1" applyAlignment="1">
      <alignment vertical="center"/>
    </xf>
    <xf numFmtId="4" fontId="6" fillId="0" borderId="6" xfId="0" applyNumberFormat="1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" fontId="3" fillId="0" borderId="9" xfId="0" applyNumberFormat="1" applyFont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4" fontId="3" fillId="2" borderId="10" xfId="0" applyNumberFormat="1" applyFont="1" applyFill="1" applyBorder="1" applyAlignment="1">
      <alignment vertical="center"/>
    </xf>
    <xf numFmtId="4" fontId="4" fillId="0" borderId="11" xfId="0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vertical="center"/>
    </xf>
    <xf numFmtId="14" fontId="3" fillId="0" borderId="13" xfId="0" applyNumberFormat="1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/>
    <xf numFmtId="0" fontId="3" fillId="0" borderId="14" xfId="0" applyFont="1" applyBorder="1"/>
    <xf numFmtId="3" fontId="6" fillId="2" borderId="15" xfId="1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3" fontId="3" fillId="0" borderId="15" xfId="0" applyNumberFormat="1" applyFont="1" applyBorder="1"/>
    <xf numFmtId="14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3" fontId="3" fillId="0" borderId="16" xfId="0" applyNumberFormat="1" applyFont="1" applyBorder="1"/>
    <xf numFmtId="0" fontId="7" fillId="0" borderId="17" xfId="0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/>
    </xf>
    <xf numFmtId="0" fontId="9" fillId="0" borderId="0" xfId="0" applyFont="1" applyFill="1"/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/>
    <xf numFmtId="17" fontId="3" fillId="0" borderId="13" xfId="0" applyNumberFormat="1" applyFont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left" vertical="center"/>
    </xf>
    <xf numFmtId="4" fontId="7" fillId="0" borderId="18" xfId="0" applyNumberFormat="1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right" vertical="center"/>
    </xf>
    <xf numFmtId="4" fontId="4" fillId="0" borderId="0" xfId="0" applyNumberFormat="1" applyFont="1" applyFill="1" applyBorder="1" applyAlignment="1">
      <alignment horizontal="right" vertical="center"/>
    </xf>
    <xf numFmtId="4" fontId="6" fillId="0" borderId="9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8" fillId="0" borderId="19" xfId="0" applyNumberFormat="1" applyFont="1" applyFill="1" applyBorder="1" applyAlignment="1">
      <alignment horizontal="right" vertical="center"/>
    </xf>
    <xf numFmtId="4" fontId="6" fillId="2" borderId="15" xfId="1" applyNumberFormat="1" applyFont="1" applyFill="1" applyBorder="1" applyAlignment="1">
      <alignment horizontal="right" vertical="center"/>
    </xf>
    <xf numFmtId="4" fontId="3" fillId="2" borderId="15" xfId="1" applyNumberFormat="1" applyFont="1" applyFill="1" applyBorder="1" applyAlignment="1">
      <alignment horizontal="right" vertical="center"/>
    </xf>
    <xf numFmtId="4" fontId="3" fillId="0" borderId="15" xfId="0" applyNumberFormat="1" applyFont="1" applyBorder="1" applyAlignment="1">
      <alignment horizontal="right"/>
    </xf>
    <xf numFmtId="4" fontId="3" fillId="0" borderId="15" xfId="0" applyNumberFormat="1" applyFont="1" applyBorder="1" applyAlignment="1">
      <alignment horizontal="right" vertical="center"/>
    </xf>
    <xf numFmtId="4" fontId="3" fillId="0" borderId="16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vertical="center"/>
    </xf>
    <xf numFmtId="4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vertical="center"/>
    </xf>
    <xf numFmtId="0" fontId="4" fillId="0" borderId="0" xfId="0" applyFont="1"/>
    <xf numFmtId="3" fontId="3" fillId="0" borderId="20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49" fontId="3" fillId="0" borderId="21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vertical="center"/>
    </xf>
    <xf numFmtId="3" fontId="3" fillId="0" borderId="24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" fontId="3" fillId="0" borderId="25" xfId="0" applyNumberFormat="1" applyFont="1" applyBorder="1" applyAlignment="1">
      <alignment vertical="center"/>
    </xf>
    <xf numFmtId="4" fontId="6" fillId="0" borderId="25" xfId="0" applyNumberFormat="1" applyFont="1" applyBorder="1" applyAlignment="1">
      <alignment horizontal="right" vertical="center"/>
    </xf>
    <xf numFmtId="4" fontId="3" fillId="2" borderId="26" xfId="0" applyNumberFormat="1" applyFont="1" applyFill="1" applyBorder="1" applyAlignment="1">
      <alignment vertical="center"/>
    </xf>
    <xf numFmtId="4" fontId="3" fillId="0" borderId="27" xfId="0" applyNumberFormat="1" applyFont="1" applyBorder="1" applyAlignment="1">
      <alignment vertical="center"/>
    </xf>
    <xf numFmtId="3" fontId="6" fillId="0" borderId="28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3" fontId="3" fillId="0" borderId="32" xfId="0" applyNumberFormat="1" applyFont="1" applyBorder="1" applyAlignment="1">
      <alignment vertical="center"/>
    </xf>
    <xf numFmtId="4" fontId="4" fillId="0" borderId="33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8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3E22-7622-4F4E-9FBA-6BE87CBCC6C8}">
  <dimension ref="A1:C57"/>
  <sheetViews>
    <sheetView workbookViewId="0">
      <selection activeCell="C54" sqref="C54"/>
    </sheetView>
  </sheetViews>
  <sheetFormatPr defaultRowHeight="23.25"/>
  <cols>
    <col min="1" max="1" width="9.140625" style="14"/>
    <col min="2" max="3" width="17.28515625" style="23" customWidth="1"/>
    <col min="4" max="16384" width="9.140625" style="14"/>
  </cols>
  <sheetData>
    <row r="1" spans="1:3">
      <c r="A1" s="25" t="s">
        <v>11</v>
      </c>
      <c r="B1" s="22" t="s">
        <v>2</v>
      </c>
      <c r="C1" s="22" t="s">
        <v>1</v>
      </c>
    </row>
    <row r="2" spans="1:3">
      <c r="A2" s="23" t="s">
        <v>2</v>
      </c>
      <c r="B2" s="24" t="s">
        <v>10</v>
      </c>
      <c r="C2" s="24" t="s">
        <v>10</v>
      </c>
    </row>
    <row r="3" spans="1:3">
      <c r="A3" s="23" t="s">
        <v>1</v>
      </c>
      <c r="B3" s="7" t="s">
        <v>12</v>
      </c>
      <c r="C3" s="23" t="s">
        <v>13</v>
      </c>
    </row>
    <row r="4" spans="1:3">
      <c r="A4" s="23"/>
      <c r="B4" s="7" t="s">
        <v>14</v>
      </c>
      <c r="C4" s="23" t="s">
        <v>15</v>
      </c>
    </row>
    <row r="5" spans="1:3">
      <c r="B5" s="7" t="s">
        <v>16</v>
      </c>
      <c r="C5" s="23" t="s">
        <v>17</v>
      </c>
    </row>
    <row r="6" spans="1:3">
      <c r="B6" s="7" t="s">
        <v>18</v>
      </c>
      <c r="C6" s="23" t="s">
        <v>19</v>
      </c>
    </row>
    <row r="7" spans="1:3">
      <c r="B7" s="7" t="s">
        <v>20</v>
      </c>
      <c r="C7" s="23" t="s">
        <v>21</v>
      </c>
    </row>
    <row r="8" spans="1:3">
      <c r="B8" s="7" t="s">
        <v>22</v>
      </c>
      <c r="C8" s="23" t="s">
        <v>23</v>
      </c>
    </row>
    <row r="9" spans="1:3">
      <c r="B9" s="7" t="s">
        <v>24</v>
      </c>
      <c r="C9" s="23" t="s">
        <v>7</v>
      </c>
    </row>
    <row r="10" spans="1:3">
      <c r="B10" s="7" t="s">
        <v>25</v>
      </c>
      <c r="C10" s="23" t="s">
        <v>26</v>
      </c>
    </row>
    <row r="11" spans="1:3">
      <c r="B11" s="7" t="s">
        <v>27</v>
      </c>
      <c r="C11" s="23" t="s">
        <v>28</v>
      </c>
    </row>
    <row r="12" spans="1:3">
      <c r="B12" s="7" t="s">
        <v>29</v>
      </c>
      <c r="C12" s="23" t="s">
        <v>30</v>
      </c>
    </row>
    <row r="13" spans="1:3">
      <c r="B13" s="7" t="s">
        <v>31</v>
      </c>
      <c r="C13" s="23" t="s">
        <v>8</v>
      </c>
    </row>
    <row r="14" spans="1:3">
      <c r="B14" s="7" t="s">
        <v>32</v>
      </c>
      <c r="C14" s="23" t="s">
        <v>33</v>
      </c>
    </row>
    <row r="15" spans="1:3">
      <c r="B15" s="7" t="s">
        <v>34</v>
      </c>
      <c r="C15" s="23" t="s">
        <v>35</v>
      </c>
    </row>
    <row r="16" spans="1:3">
      <c r="B16" s="7" t="s">
        <v>19</v>
      </c>
      <c r="C16" s="23" t="s">
        <v>36</v>
      </c>
    </row>
    <row r="17" spans="2:3">
      <c r="B17" s="7" t="s">
        <v>37</v>
      </c>
      <c r="C17" s="23" t="s">
        <v>9</v>
      </c>
    </row>
    <row r="18" spans="2:3">
      <c r="B18" s="7" t="s">
        <v>38</v>
      </c>
      <c r="C18" s="23" t="s">
        <v>39</v>
      </c>
    </row>
    <row r="19" spans="2:3">
      <c r="B19" s="7" t="s">
        <v>40</v>
      </c>
      <c r="C19" s="23" t="s">
        <v>41</v>
      </c>
    </row>
    <row r="20" spans="2:3">
      <c r="B20" s="7" t="s">
        <v>23</v>
      </c>
      <c r="C20" s="23" t="s">
        <v>42</v>
      </c>
    </row>
    <row r="21" spans="2:3">
      <c r="B21" s="7" t="s">
        <v>43</v>
      </c>
      <c r="C21" s="23" t="s">
        <v>44</v>
      </c>
    </row>
    <row r="22" spans="2:3">
      <c r="B22" s="7" t="s">
        <v>45</v>
      </c>
      <c r="C22" s="23" t="s">
        <v>46</v>
      </c>
    </row>
    <row r="23" spans="2:3">
      <c r="B23" s="7" t="s">
        <v>47</v>
      </c>
      <c r="C23" s="23" t="s">
        <v>48</v>
      </c>
    </row>
    <row r="24" spans="2:3">
      <c r="B24" s="7" t="s">
        <v>7</v>
      </c>
      <c r="C24" s="23" t="s">
        <v>49</v>
      </c>
    </row>
    <row r="25" spans="2:3">
      <c r="B25" s="7" t="s">
        <v>50</v>
      </c>
      <c r="C25" s="23" t="s">
        <v>51</v>
      </c>
    </row>
    <row r="26" spans="2:3">
      <c r="B26" s="7" t="s">
        <v>52</v>
      </c>
      <c r="C26" s="23" t="s">
        <v>53</v>
      </c>
    </row>
    <row r="27" spans="2:3">
      <c r="B27" s="7" t="s">
        <v>54</v>
      </c>
      <c r="C27" s="23" t="s">
        <v>110</v>
      </c>
    </row>
    <row r="28" spans="2:3">
      <c r="B28" s="7" t="s">
        <v>55</v>
      </c>
    </row>
    <row r="29" spans="2:3">
      <c r="B29" s="7" t="s">
        <v>56</v>
      </c>
    </row>
    <row r="30" spans="2:3">
      <c r="B30" s="7" t="s">
        <v>28</v>
      </c>
    </row>
    <row r="31" spans="2:3">
      <c r="B31" s="7" t="s">
        <v>57</v>
      </c>
    </row>
    <row r="32" spans="2:3">
      <c r="B32" s="7" t="s">
        <v>58</v>
      </c>
    </row>
    <row r="33" spans="2:2">
      <c r="B33" s="7" t="s">
        <v>59</v>
      </c>
    </row>
    <row r="34" spans="2:2">
      <c r="B34" s="7" t="s">
        <v>8</v>
      </c>
    </row>
    <row r="35" spans="2:2">
      <c r="B35" s="7" t="s">
        <v>60</v>
      </c>
    </row>
    <row r="36" spans="2:2">
      <c r="B36" s="7" t="s">
        <v>61</v>
      </c>
    </row>
    <row r="37" spans="2:2">
      <c r="B37" s="7" t="s">
        <v>62</v>
      </c>
    </row>
    <row r="38" spans="2:2">
      <c r="B38" s="7" t="s">
        <v>63</v>
      </c>
    </row>
    <row r="39" spans="2:2">
      <c r="B39" s="7" t="s">
        <v>64</v>
      </c>
    </row>
    <row r="40" spans="2:2">
      <c r="B40" s="7" t="s">
        <v>65</v>
      </c>
    </row>
    <row r="41" spans="2:2">
      <c r="B41" s="7" t="s">
        <v>66</v>
      </c>
    </row>
    <row r="42" spans="2:2">
      <c r="B42" s="7" t="s">
        <v>67</v>
      </c>
    </row>
    <row r="43" spans="2:2">
      <c r="B43" s="7" t="s">
        <v>68</v>
      </c>
    </row>
    <row r="44" spans="2:2">
      <c r="B44" s="7" t="s">
        <v>9</v>
      </c>
    </row>
    <row r="45" spans="2:2">
      <c r="B45" s="7" t="s">
        <v>42</v>
      </c>
    </row>
    <row r="46" spans="2:2">
      <c r="B46" s="7" t="s">
        <v>69</v>
      </c>
    </row>
    <row r="47" spans="2:2">
      <c r="B47" s="7" t="s">
        <v>44</v>
      </c>
    </row>
    <row r="48" spans="2:2">
      <c r="B48" s="7" t="s">
        <v>46</v>
      </c>
    </row>
    <row r="49" spans="2:2">
      <c r="B49" s="7" t="s">
        <v>48</v>
      </c>
    </row>
    <row r="50" spans="2:2">
      <c r="B50" s="7" t="s">
        <v>49</v>
      </c>
    </row>
    <row r="51" spans="2:2">
      <c r="B51" s="7" t="s">
        <v>51</v>
      </c>
    </row>
    <row r="52" spans="2:2">
      <c r="B52" s="7" t="s">
        <v>53</v>
      </c>
    </row>
    <row r="53" spans="2:2">
      <c r="B53" s="23" t="s">
        <v>70</v>
      </c>
    </row>
    <row r="54" spans="2:2">
      <c r="B54" s="23" t="s">
        <v>71</v>
      </c>
    </row>
    <row r="55" spans="2:2">
      <c r="B55" s="23" t="s">
        <v>109</v>
      </c>
    </row>
    <row r="56" spans="2:2">
      <c r="B56" s="23" t="s">
        <v>106</v>
      </c>
    </row>
    <row r="57" spans="2:2">
      <c r="B57" s="2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5F40-FB2F-4601-B114-34658D9BB4C3}">
  <sheetPr>
    <tabColor rgb="FF00B0F0"/>
  </sheetPr>
  <dimension ref="A1:L222"/>
  <sheetViews>
    <sheetView tabSelected="1" zoomScaleNormal="100" workbookViewId="0">
      <selection activeCell="B31" sqref="B31"/>
    </sheetView>
  </sheetViews>
  <sheetFormatPr defaultRowHeight="23.25"/>
  <cols>
    <col min="1" max="1" width="11.85546875" style="14" customWidth="1"/>
    <col min="2" max="2" width="16.7109375" style="14" customWidth="1"/>
    <col min="3" max="3" width="22.28515625" style="21" customWidth="1"/>
    <col min="4" max="4" width="14.28515625" style="78" customWidth="1"/>
    <col min="5" max="5" width="12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27.75" customHeight="1">
      <c r="A1" s="108" t="s">
        <v>6</v>
      </c>
      <c r="B1" s="108"/>
      <c r="C1" s="108"/>
      <c r="D1" s="108"/>
      <c r="E1" s="108"/>
      <c r="F1" s="5"/>
      <c r="G1" s="5"/>
      <c r="H1" s="5"/>
      <c r="I1" s="5"/>
      <c r="J1" s="5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82</v>
      </c>
      <c r="C3" s="107" t="s">
        <v>84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s="62" customFormat="1" ht="28.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9"/>
      <c r="G5" s="9"/>
      <c r="H5" s="9"/>
      <c r="I5" s="9"/>
      <c r="J5" s="9"/>
    </row>
    <row r="6" spans="1:10" s="62" customFormat="1" ht="28.5" customHeight="1">
      <c r="A6" s="34" t="s">
        <v>2</v>
      </c>
      <c r="B6" s="35" t="s">
        <v>7</v>
      </c>
      <c r="C6" s="36">
        <v>3000</v>
      </c>
      <c r="D6" s="68">
        <f>SUMIF(C20:C216,"16-8-8",D20:D216)</f>
        <v>100</v>
      </c>
      <c r="E6" s="38">
        <f t="shared" ref="E6:E14" si="0">+C6-D6</f>
        <v>2900</v>
      </c>
      <c r="F6" s="9"/>
      <c r="G6" s="9"/>
      <c r="H6" s="9"/>
      <c r="I6" s="9"/>
      <c r="J6" s="9"/>
    </row>
    <row r="7" spans="1:10" s="62" customFormat="1" ht="28.5" customHeight="1">
      <c r="A7" s="26" t="s">
        <v>2</v>
      </c>
      <c r="B7" s="20" t="s">
        <v>8</v>
      </c>
      <c r="C7" s="4">
        <v>3000</v>
      </c>
      <c r="D7" s="69">
        <f>SUMIF(C20:C216,"20-8-8",D20:D216)</f>
        <v>100</v>
      </c>
      <c r="E7" s="27">
        <f t="shared" si="0"/>
        <v>2900</v>
      </c>
      <c r="F7" s="9"/>
      <c r="G7" s="9"/>
      <c r="H7" s="9"/>
      <c r="I7" s="9"/>
      <c r="J7" s="9"/>
    </row>
    <row r="8" spans="1:10" s="62" customFormat="1" ht="28.5" customHeight="1">
      <c r="A8" s="26" t="s">
        <v>2</v>
      </c>
      <c r="B8" s="20" t="s">
        <v>9</v>
      </c>
      <c r="C8" s="4">
        <v>3000</v>
      </c>
      <c r="D8" s="69">
        <f>SUMIF(C20:C216,"30-0-0",D20:D216)</f>
        <v>0</v>
      </c>
      <c r="E8" s="27">
        <f t="shared" si="0"/>
        <v>3000</v>
      </c>
      <c r="F8" s="9"/>
      <c r="G8" s="9"/>
      <c r="H8" s="9"/>
      <c r="I8" s="9"/>
      <c r="J8" s="9"/>
    </row>
    <row r="9" spans="1:10" s="62" customFormat="1" ht="28.5" customHeight="1">
      <c r="A9" s="26" t="s">
        <v>2</v>
      </c>
      <c r="B9" s="20" t="s">
        <v>10</v>
      </c>
      <c r="C9" s="4">
        <v>4000</v>
      </c>
      <c r="D9" s="69">
        <f>SUMIF(C20:C216,"เสื้อยืดแขนยาว",D20:D216)</f>
        <v>1375</v>
      </c>
      <c r="E9" s="27">
        <f t="shared" si="0"/>
        <v>2625</v>
      </c>
      <c r="F9" s="9"/>
      <c r="G9" s="9"/>
      <c r="H9" s="9"/>
      <c r="I9" s="9"/>
      <c r="J9" s="9"/>
    </row>
    <row r="10" spans="1:10" s="62" customFormat="1" ht="28.5" customHeight="1">
      <c r="A10" s="26" t="s">
        <v>2</v>
      </c>
      <c r="B10" s="20" t="s">
        <v>34</v>
      </c>
      <c r="C10" s="4">
        <v>0</v>
      </c>
      <c r="D10" s="69">
        <f>SUMIF(C21:C217,"15-3-3",D21:D217)</f>
        <v>100</v>
      </c>
      <c r="E10" s="27">
        <f t="shared" si="0"/>
        <v>-100</v>
      </c>
      <c r="F10" s="9"/>
      <c r="G10" s="9"/>
      <c r="H10" s="9"/>
      <c r="I10" s="9"/>
      <c r="J10" s="9"/>
    </row>
    <row r="11" spans="1:10" s="62" customFormat="1" ht="28.5" customHeight="1">
      <c r="A11" s="26" t="s">
        <v>2</v>
      </c>
      <c r="B11" s="20" t="s">
        <v>55</v>
      </c>
      <c r="C11" s="4"/>
      <c r="D11" s="69">
        <f>SUMIF(C22:C218,"18-4-5",D22:D218)</f>
        <v>300</v>
      </c>
      <c r="E11" s="27">
        <f t="shared" si="0"/>
        <v>-300</v>
      </c>
      <c r="F11" s="9"/>
      <c r="G11" s="9"/>
      <c r="H11" s="9"/>
      <c r="I11" s="9"/>
      <c r="J11" s="9"/>
    </row>
    <row r="12" spans="1:10" s="62" customFormat="1" ht="28.5" customHeight="1">
      <c r="A12" s="26" t="s">
        <v>2</v>
      </c>
      <c r="B12" s="20" t="s">
        <v>28</v>
      </c>
      <c r="C12" s="4"/>
      <c r="D12" s="69">
        <f>SUMIF(C23:C219,"18-8-8",D23:D219)</f>
        <v>300</v>
      </c>
      <c r="E12" s="27">
        <f t="shared" si="0"/>
        <v>-300</v>
      </c>
      <c r="F12" s="9"/>
      <c r="G12" s="9"/>
      <c r="H12" s="9"/>
      <c r="I12" s="9"/>
      <c r="J12" s="9"/>
    </row>
    <row r="13" spans="1:10" s="62" customFormat="1" ht="28.5" customHeight="1">
      <c r="A13" s="26" t="s">
        <v>2</v>
      </c>
      <c r="B13" s="20" t="s">
        <v>42</v>
      </c>
      <c r="C13" s="4"/>
      <c r="D13" s="69">
        <f>SUMIF(C23:C219,"40-0-0",D23:D219)</f>
        <v>100</v>
      </c>
      <c r="E13" s="27">
        <f t="shared" si="0"/>
        <v>-100</v>
      </c>
      <c r="F13" s="9"/>
      <c r="G13" s="9"/>
      <c r="H13" s="9"/>
      <c r="I13" s="9"/>
      <c r="J13" s="9"/>
    </row>
    <row r="14" spans="1:10" s="62" customFormat="1" ht="28.5" customHeight="1">
      <c r="A14" s="26" t="s">
        <v>2</v>
      </c>
      <c r="B14" s="20" t="s">
        <v>109</v>
      </c>
      <c r="C14" s="4"/>
      <c r="D14" s="69">
        <f>SUMIF(C24:C220,"แบนเนอร์ รถเกษตร",D24:D220)</f>
        <v>2</v>
      </c>
      <c r="E14" s="27">
        <f t="shared" si="0"/>
        <v>-2</v>
      </c>
      <c r="F14" s="9"/>
      <c r="G14" s="9"/>
      <c r="H14" s="9"/>
      <c r="I14" s="9"/>
      <c r="J14" s="9"/>
    </row>
    <row r="15" spans="1:10" s="62" customFormat="1" ht="28.5" customHeight="1" thickBot="1">
      <c r="A15" s="29"/>
      <c r="B15" s="30"/>
      <c r="C15" s="31"/>
      <c r="D15" s="70"/>
      <c r="E15" s="33"/>
      <c r="F15" s="9"/>
      <c r="G15" s="9"/>
      <c r="H15" s="9"/>
      <c r="I15" s="9"/>
      <c r="J15" s="9"/>
    </row>
    <row r="16" spans="1:10" s="62" customFormat="1" ht="28.5" customHeight="1" thickBot="1">
      <c r="A16" s="2"/>
      <c r="B16" s="1"/>
      <c r="C16" s="80">
        <f>SUM(C6:C15)</f>
        <v>13000</v>
      </c>
      <c r="D16" s="81">
        <f>SUM(D6:D15)</f>
        <v>2377</v>
      </c>
      <c r="E16" s="80">
        <f>SUM(E6:E15)</f>
        <v>10623</v>
      </c>
      <c r="F16" s="9"/>
      <c r="G16" s="9"/>
      <c r="H16" s="9"/>
      <c r="I16" s="9"/>
      <c r="J16" s="9"/>
    </row>
    <row r="17" spans="1:12" s="62" customFormat="1" ht="21" customHeight="1" thickTop="1">
      <c r="A17" s="9"/>
      <c r="B17" s="9"/>
      <c r="C17" s="61"/>
      <c r="D17" s="67"/>
      <c r="E17" s="9"/>
      <c r="F17" s="9"/>
      <c r="G17" s="9"/>
      <c r="H17" s="9"/>
      <c r="I17" s="9"/>
      <c r="J17" s="9"/>
    </row>
    <row r="18" spans="1:12" s="60" customFormat="1" ht="21" customHeight="1" thickBot="1">
      <c r="A18" s="12"/>
      <c r="B18" s="12"/>
      <c r="C18" s="59"/>
      <c r="D18" s="72"/>
      <c r="E18" s="12"/>
      <c r="F18" s="12"/>
      <c r="G18" s="12"/>
      <c r="H18" s="12"/>
      <c r="I18" s="12"/>
      <c r="J18" s="12"/>
    </row>
    <row r="19" spans="1:12" ht="18" customHeight="1" thickBot="1">
      <c r="A19" s="56" t="s">
        <v>73</v>
      </c>
      <c r="B19" s="105" t="s">
        <v>72</v>
      </c>
      <c r="C19" s="106"/>
      <c r="D19" s="65" t="s">
        <v>0</v>
      </c>
      <c r="E19" s="10"/>
      <c r="H19" s="14"/>
    </row>
    <row r="20" spans="1:12" ht="18" customHeight="1">
      <c r="A20" s="63">
        <v>25235</v>
      </c>
      <c r="B20" s="84" t="s">
        <v>2</v>
      </c>
      <c r="C20" s="87" t="s">
        <v>10</v>
      </c>
      <c r="D20" s="73">
        <v>325</v>
      </c>
      <c r="E20" s="2"/>
      <c r="H20" s="14"/>
    </row>
    <row r="21" spans="1:12" ht="18" customHeight="1">
      <c r="A21" s="63">
        <v>25263</v>
      </c>
      <c r="B21" s="85" t="s">
        <v>2</v>
      </c>
      <c r="C21" s="88" t="s">
        <v>10</v>
      </c>
      <c r="D21" s="73">
        <v>630</v>
      </c>
      <c r="E21" s="2"/>
      <c r="H21" s="14"/>
    </row>
    <row r="22" spans="1:12" ht="18" customHeight="1">
      <c r="A22" s="63">
        <v>25294</v>
      </c>
      <c r="B22" s="85" t="s">
        <v>2</v>
      </c>
      <c r="C22" s="88" t="s">
        <v>34</v>
      </c>
      <c r="D22" s="73">
        <v>100</v>
      </c>
      <c r="E22" s="2"/>
      <c r="H22" s="14"/>
    </row>
    <row r="23" spans="1:12" ht="18" customHeight="1">
      <c r="A23" s="63"/>
      <c r="B23" s="85" t="s">
        <v>2</v>
      </c>
      <c r="C23" s="88" t="s">
        <v>7</v>
      </c>
      <c r="D23" s="73">
        <v>100</v>
      </c>
      <c r="E23" s="2"/>
      <c r="H23" s="14"/>
    </row>
    <row r="24" spans="1:12" ht="18" customHeight="1">
      <c r="A24" s="63"/>
      <c r="B24" s="85" t="s">
        <v>2</v>
      </c>
      <c r="C24" s="88" t="s">
        <v>55</v>
      </c>
      <c r="D24" s="73">
        <v>300</v>
      </c>
      <c r="E24" s="2"/>
      <c r="H24" s="14"/>
    </row>
    <row r="25" spans="1:12" ht="18" customHeight="1">
      <c r="A25" s="63"/>
      <c r="B25" s="85" t="s">
        <v>2</v>
      </c>
      <c r="C25" s="88" t="s">
        <v>28</v>
      </c>
      <c r="D25" s="73">
        <v>300</v>
      </c>
      <c r="E25" s="2"/>
      <c r="H25" s="14"/>
    </row>
    <row r="26" spans="1:12" ht="18" customHeight="1">
      <c r="A26" s="63"/>
      <c r="B26" s="85" t="s">
        <v>2</v>
      </c>
      <c r="C26" s="88" t="s">
        <v>8</v>
      </c>
      <c r="D26" s="73">
        <v>100</v>
      </c>
      <c r="E26" s="2"/>
      <c r="H26" s="14"/>
    </row>
    <row r="27" spans="1:12" ht="18" customHeight="1">
      <c r="A27" s="63"/>
      <c r="B27" s="85" t="s">
        <v>2</v>
      </c>
      <c r="C27" s="88" t="s">
        <v>42</v>
      </c>
      <c r="D27" s="74">
        <v>100</v>
      </c>
      <c r="E27" s="2"/>
      <c r="H27" s="14"/>
    </row>
    <row r="28" spans="1:12" ht="18" customHeight="1">
      <c r="A28" s="63"/>
      <c r="B28" s="85" t="s">
        <v>2</v>
      </c>
      <c r="C28" s="88" t="s">
        <v>10</v>
      </c>
      <c r="D28" s="74">
        <v>420</v>
      </c>
      <c r="E28" s="2"/>
      <c r="F28" s="2"/>
      <c r="G28" s="1"/>
      <c r="H28" s="3"/>
      <c r="I28" s="3"/>
      <c r="J28" s="6"/>
    </row>
    <row r="29" spans="1:12" ht="18" customHeight="1">
      <c r="A29" s="63"/>
      <c r="B29" s="85" t="s">
        <v>2</v>
      </c>
      <c r="C29" s="88" t="s">
        <v>109</v>
      </c>
      <c r="D29" s="74">
        <v>2</v>
      </c>
      <c r="E29" s="2"/>
      <c r="F29" s="2"/>
      <c r="G29" s="3"/>
      <c r="H29" s="3"/>
      <c r="I29" s="3"/>
      <c r="J29" s="6"/>
    </row>
    <row r="30" spans="1:12" ht="18" customHeight="1">
      <c r="A30" s="41"/>
      <c r="B30" s="85"/>
      <c r="C30" s="88"/>
      <c r="D30" s="74"/>
      <c r="E30" s="2"/>
      <c r="F30" s="2"/>
      <c r="G30" s="3"/>
      <c r="H30" s="3"/>
      <c r="I30" s="3"/>
      <c r="J30" s="6"/>
      <c r="L30" s="3"/>
    </row>
    <row r="31" spans="1:12" ht="18" customHeight="1">
      <c r="A31" s="41"/>
      <c r="B31" s="85"/>
      <c r="C31" s="88"/>
      <c r="D31" s="74"/>
      <c r="E31" s="2"/>
      <c r="F31" s="2"/>
      <c r="G31" s="3"/>
      <c r="H31" s="3"/>
      <c r="I31" s="3"/>
      <c r="J31" s="6"/>
    </row>
    <row r="32" spans="1:12" ht="17.25" customHeight="1">
      <c r="A32" s="41"/>
      <c r="B32" s="85"/>
      <c r="C32" s="88"/>
      <c r="D32" s="74"/>
      <c r="E32" s="11"/>
      <c r="F32" s="2"/>
      <c r="G32" s="1"/>
      <c r="H32" s="3"/>
      <c r="I32" s="3"/>
      <c r="J32" s="6"/>
    </row>
    <row r="33" spans="1:10" ht="17.25" customHeight="1">
      <c r="A33" s="42"/>
      <c r="B33" s="85"/>
      <c r="C33" s="88"/>
      <c r="D33" s="74"/>
      <c r="E33" s="11"/>
      <c r="F33" s="2"/>
      <c r="G33" s="1"/>
      <c r="H33" s="3"/>
      <c r="I33" s="3"/>
      <c r="J33" s="6"/>
    </row>
    <row r="34" spans="1:10" ht="17.25" customHeight="1">
      <c r="A34" s="42"/>
      <c r="B34" s="85"/>
      <c r="C34" s="88"/>
      <c r="D34" s="75"/>
      <c r="E34" s="2"/>
      <c r="F34" s="2"/>
      <c r="G34" s="1"/>
      <c r="H34" s="3"/>
      <c r="I34" s="3"/>
      <c r="J34" s="6"/>
    </row>
    <row r="35" spans="1:10" ht="17.25" customHeight="1">
      <c r="A35" s="43"/>
      <c r="B35" s="85"/>
      <c r="C35" s="88"/>
      <c r="D35" s="76"/>
      <c r="E35" s="2"/>
      <c r="F35" s="2"/>
      <c r="G35" s="1"/>
      <c r="H35" s="3"/>
      <c r="I35" s="3"/>
      <c r="J35" s="6"/>
    </row>
    <row r="36" spans="1:10" ht="17.25" customHeight="1">
      <c r="A36" s="44" t="s">
        <v>3</v>
      </c>
      <c r="B36" s="85"/>
      <c r="C36" s="88"/>
      <c r="D36" s="76"/>
      <c r="E36" s="2"/>
      <c r="F36" s="2"/>
      <c r="G36" s="1"/>
      <c r="H36" s="3"/>
      <c r="I36" s="3"/>
      <c r="J36" s="6"/>
    </row>
    <row r="37" spans="1:10" ht="17.25" customHeight="1">
      <c r="A37" s="45"/>
      <c r="B37" s="85"/>
      <c r="C37" s="88"/>
      <c r="D37" s="76"/>
      <c r="E37" s="2"/>
      <c r="F37" s="6"/>
      <c r="G37" s="1"/>
      <c r="H37" s="3"/>
      <c r="I37" s="3"/>
      <c r="J37" s="6"/>
    </row>
    <row r="38" spans="1:10" ht="17.25" customHeight="1">
      <c r="A38" s="46"/>
      <c r="B38" s="85"/>
      <c r="C38" s="88"/>
      <c r="D38" s="75"/>
      <c r="E38" s="2"/>
      <c r="F38" s="2"/>
      <c r="G38" s="1"/>
      <c r="H38" s="3"/>
      <c r="I38" s="3"/>
      <c r="J38" s="6"/>
    </row>
    <row r="39" spans="1:10" ht="17.25" customHeight="1">
      <c r="A39" s="46"/>
      <c r="B39" s="85"/>
      <c r="C39" s="88"/>
      <c r="D39" s="75"/>
      <c r="E39" s="2"/>
      <c r="F39" s="2"/>
      <c r="G39" s="6"/>
      <c r="H39" s="6"/>
      <c r="I39" s="6"/>
      <c r="J39" s="6"/>
    </row>
    <row r="40" spans="1:10" ht="17.25" customHeight="1">
      <c r="A40" s="46"/>
      <c r="B40" s="85"/>
      <c r="C40" s="88"/>
      <c r="D40" s="75"/>
      <c r="E40" s="2"/>
      <c r="F40" s="2"/>
      <c r="G40" s="1"/>
      <c r="H40" s="3"/>
      <c r="I40" s="3"/>
      <c r="J40" s="6"/>
    </row>
    <row r="41" spans="1:10" ht="17.25" customHeight="1">
      <c r="A41" s="42"/>
      <c r="B41" s="85"/>
      <c r="C41" s="88"/>
      <c r="D41" s="75"/>
      <c r="E41" s="2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F42" s="2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F43" s="2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2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F164" s="2"/>
      <c r="G164" s="1"/>
      <c r="H164" s="3"/>
      <c r="I164" s="3"/>
      <c r="J164" s="6"/>
    </row>
    <row r="165" spans="1:10" ht="17.25" customHeight="1">
      <c r="A165" s="47"/>
      <c r="B165" s="85"/>
      <c r="C165" s="88"/>
      <c r="D165" s="75"/>
      <c r="F165" s="2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G167" s="1"/>
      <c r="H167" s="3"/>
      <c r="I167" s="3"/>
      <c r="J167" s="6"/>
    </row>
    <row r="168" spans="1:10" ht="16.5" customHeight="1">
      <c r="A168" s="47"/>
      <c r="B168" s="85"/>
      <c r="C168" s="88"/>
      <c r="D168" s="75"/>
      <c r="F168" s="2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F169" s="2"/>
      <c r="G169" s="1"/>
      <c r="H169" s="3"/>
      <c r="I169" s="3"/>
    </row>
    <row r="170" spans="1:10" ht="16.5" customHeight="1">
      <c r="A170" s="47"/>
      <c r="B170" s="85"/>
      <c r="C170" s="88"/>
      <c r="D170" s="75"/>
      <c r="F170" s="2"/>
      <c r="G170" s="1"/>
      <c r="H170" s="3"/>
      <c r="I170" s="3"/>
      <c r="J170" s="6"/>
    </row>
    <row r="171" spans="1:10" ht="17.25" customHeight="1">
      <c r="A171" s="47"/>
      <c r="B171" s="85"/>
      <c r="C171" s="88"/>
      <c r="D171" s="75"/>
      <c r="F171" s="2"/>
      <c r="G171" s="1"/>
      <c r="H171" s="3"/>
      <c r="I171" s="3"/>
      <c r="J171" s="6"/>
    </row>
    <row r="172" spans="1:10" ht="17.25" customHeight="1">
      <c r="A172" s="47"/>
      <c r="B172" s="85"/>
      <c r="C172" s="88"/>
      <c r="D172" s="75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F173" s="2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F174" s="2"/>
      <c r="G174" s="1"/>
      <c r="H174" s="3"/>
      <c r="I174" s="3"/>
      <c r="J174" s="6"/>
    </row>
    <row r="175" spans="1:10" ht="18" customHeight="1">
      <c r="A175" s="47"/>
      <c r="B175" s="85"/>
      <c r="C175" s="88"/>
      <c r="D175" s="75"/>
      <c r="F175" s="2"/>
      <c r="G175" s="1"/>
      <c r="H175" s="3"/>
      <c r="I175" s="3"/>
      <c r="J175" s="6"/>
    </row>
    <row r="176" spans="1:10" ht="22.5" customHeight="1">
      <c r="A176" s="47"/>
      <c r="B176" s="85"/>
      <c r="C176" s="88"/>
      <c r="D176" s="75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G185" s="1"/>
      <c r="H185" s="3"/>
      <c r="I185" s="3"/>
      <c r="J185" s="6"/>
    </row>
    <row r="186" spans="1:10" ht="18" customHeight="1">
      <c r="A186" s="47"/>
      <c r="B186" s="85"/>
      <c r="C186" s="88"/>
      <c r="D186" s="75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F203" s="2"/>
      <c r="G203" s="1"/>
      <c r="H203" s="3"/>
      <c r="I203" s="3"/>
      <c r="J203" s="6"/>
    </row>
    <row r="204" spans="1:10" ht="18.75" customHeight="1">
      <c r="A204" s="47"/>
      <c r="B204" s="85"/>
      <c r="C204" s="88"/>
      <c r="D204" s="75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75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</row>
    <row r="209" spans="1:9" ht="15" customHeight="1">
      <c r="A209" s="47"/>
      <c r="B209" s="85"/>
      <c r="C209" s="88"/>
      <c r="D209" s="75"/>
      <c r="F209" s="2"/>
      <c r="G209" s="1"/>
      <c r="H209" s="3"/>
      <c r="I209" s="3"/>
    </row>
    <row r="210" spans="1:9" ht="15" customHeight="1">
      <c r="A210" s="47"/>
      <c r="B210" s="85"/>
      <c r="C210" s="88"/>
      <c r="D210" s="75"/>
      <c r="F210" s="2"/>
      <c r="G210" s="1"/>
      <c r="H210" s="3"/>
      <c r="I210" s="3"/>
    </row>
    <row r="211" spans="1:9" ht="15" customHeight="1">
      <c r="A211" s="47"/>
      <c r="B211" s="85"/>
      <c r="C211" s="88"/>
      <c r="D211" s="75"/>
      <c r="F211" s="2"/>
      <c r="G211" s="1"/>
      <c r="H211" s="3"/>
      <c r="I211" s="3"/>
    </row>
    <row r="212" spans="1:9" ht="15" customHeight="1">
      <c r="A212" s="47"/>
      <c r="B212" s="85"/>
      <c r="C212" s="88"/>
      <c r="D212" s="75"/>
    </row>
    <row r="213" spans="1:9" ht="15" customHeight="1">
      <c r="A213" s="47"/>
      <c r="B213" s="85"/>
      <c r="C213" s="88"/>
      <c r="D213" s="75"/>
    </row>
    <row r="214" spans="1:9" ht="15" customHeight="1">
      <c r="A214" s="47"/>
      <c r="B214" s="85"/>
      <c r="C214" s="88"/>
      <c r="D214" s="75"/>
    </row>
    <row r="215" spans="1:9" ht="15" customHeight="1">
      <c r="A215" s="47"/>
      <c r="B215" s="85"/>
      <c r="C215" s="88"/>
      <c r="D215" s="75"/>
    </row>
    <row r="216" spans="1:9" ht="18" customHeight="1" thickBot="1">
      <c r="A216" s="48"/>
      <c r="B216" s="86"/>
      <c r="C216" s="89"/>
      <c r="D216" s="77"/>
    </row>
    <row r="217" spans="1:9" ht="18" customHeight="1"/>
    <row r="218" spans="1:9" ht="18" customHeight="1"/>
    <row r="219" spans="1:9" ht="18" customHeight="1"/>
    <row r="220" spans="1:9" ht="18" customHeight="1"/>
    <row r="221" spans="1:9" ht="18" customHeight="1"/>
    <row r="222" spans="1:9" ht="18" customHeight="1"/>
  </sheetData>
  <mergeCells count="4">
    <mergeCell ref="A5:C5"/>
    <mergeCell ref="B19:C19"/>
    <mergeCell ref="C3:D3"/>
    <mergeCell ref="A1:E1"/>
  </mergeCells>
  <phoneticPr fontId="2" type="noConversion"/>
  <conditionalFormatting sqref="J28:J65536 J1:J18 E5:E15">
    <cfRule type="cellIs" dxfId="27" priority="1" stopIfTrue="1" operator="lessThan">
      <formula>0</formula>
    </cfRule>
  </conditionalFormatting>
  <dataValidations count="3">
    <dataValidation type="list" allowBlank="1" showInputMessage="1" showErrorMessage="1" sqref="B6:B15" xr:uid="{7C743209-8769-4485-AC75-96C7CFB79552}">
      <formula1>INDIRECT($A6)</formula1>
    </dataValidation>
    <dataValidation type="list" allowBlank="1" showInputMessage="1" showErrorMessage="1" sqref="C22:C27 C29:C129" xr:uid="{848800F3-1F56-495C-9794-352F2A395B71}">
      <formula1>INDIRECT($B22)</formula1>
    </dataValidation>
    <dataValidation type="list" allowBlank="1" showInputMessage="1" showErrorMessage="1" sqref="C20:C21 C28" xr:uid="{DFFF0539-9D18-4E88-9DCD-6450DD2DE668}">
      <formula1>INDIRECT($A7)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146F-F31A-4831-8F8F-18E34E5D0068}">
  <sheetPr>
    <tabColor rgb="FF00B0F0"/>
  </sheetPr>
  <dimension ref="A1:L221"/>
  <sheetViews>
    <sheetView zoomScaleNormal="100" workbookViewId="0">
      <selection activeCell="A23" sqref="A23:B23"/>
    </sheetView>
  </sheetViews>
  <sheetFormatPr defaultRowHeight="23.25"/>
  <cols>
    <col min="1" max="1" width="12.140625" style="14" customWidth="1"/>
    <col min="2" max="2" width="20.28515625" style="14" customWidth="1"/>
    <col min="3" max="3" width="14.28515625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29.25" customHeight="1">
      <c r="A1" s="108" t="s">
        <v>74</v>
      </c>
      <c r="B1" s="108"/>
      <c r="C1" s="108"/>
      <c r="D1" s="108"/>
      <c r="E1" s="108"/>
      <c r="F1" s="5"/>
      <c r="G1" s="5"/>
      <c r="H1" s="5"/>
      <c r="I1" s="5"/>
      <c r="J1" s="5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86</v>
      </c>
      <c r="C3" s="107" t="s">
        <v>85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9.2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9.25" customHeight="1">
      <c r="A6" s="34" t="s">
        <v>2</v>
      </c>
      <c r="B6" s="35" t="s">
        <v>22</v>
      </c>
      <c r="C6" s="36">
        <v>3000</v>
      </c>
      <c r="D6" s="68">
        <f>SUMIF($C$19:C215,"13-3-21",$D$19:D215)</f>
        <v>0</v>
      </c>
      <c r="E6" s="38">
        <f t="shared" ref="E6:E13" si="0">+C6-D6</f>
        <v>3000</v>
      </c>
      <c r="F6" s="19"/>
      <c r="G6" s="19"/>
      <c r="H6" s="19"/>
      <c r="I6" s="19"/>
      <c r="J6" s="19"/>
    </row>
    <row r="7" spans="1:10" ht="29.25" customHeight="1">
      <c r="A7" s="26" t="s">
        <v>2</v>
      </c>
      <c r="B7" s="20" t="s">
        <v>28</v>
      </c>
      <c r="C7" s="4">
        <v>3000</v>
      </c>
      <c r="D7" s="69">
        <f>SUMIF($C$19:C215,"18-8-8",$D$19:D215)</f>
        <v>0</v>
      </c>
      <c r="E7" s="27">
        <f t="shared" si="0"/>
        <v>3000</v>
      </c>
      <c r="F7" s="19"/>
      <c r="G7" s="19"/>
      <c r="H7" s="19"/>
      <c r="I7" s="19"/>
      <c r="J7" s="19"/>
    </row>
    <row r="8" spans="1:10" ht="29.25" customHeight="1">
      <c r="A8" s="26" t="s">
        <v>2</v>
      </c>
      <c r="B8" s="20" t="s">
        <v>8</v>
      </c>
      <c r="C8" s="4">
        <v>3000</v>
      </c>
      <c r="D8" s="69">
        <f>SUMIF($C$19:C216,"20-8-8",$D$19:D216)</f>
        <v>0</v>
      </c>
      <c r="E8" s="27">
        <f t="shared" si="0"/>
        <v>3000</v>
      </c>
      <c r="F8" s="19"/>
      <c r="G8" s="19"/>
      <c r="H8" s="19"/>
      <c r="I8" s="19"/>
      <c r="J8" s="19"/>
    </row>
    <row r="9" spans="1:10" ht="29.25" customHeight="1">
      <c r="A9" s="26" t="s">
        <v>2</v>
      </c>
      <c r="B9" s="20" t="s">
        <v>9</v>
      </c>
      <c r="C9" s="4">
        <v>3000</v>
      </c>
      <c r="D9" s="69">
        <f>SUMIF($C$19:C215,"30-0-0",$D$19:D215)</f>
        <v>0</v>
      </c>
      <c r="E9" s="27">
        <f t="shared" si="0"/>
        <v>3000</v>
      </c>
      <c r="F9" s="19"/>
      <c r="G9" s="19"/>
      <c r="H9" s="19"/>
      <c r="I9" s="19"/>
      <c r="J9" s="19"/>
    </row>
    <row r="10" spans="1:10" ht="29.25" customHeight="1">
      <c r="A10" s="26" t="s">
        <v>2</v>
      </c>
      <c r="B10" s="20" t="s">
        <v>42</v>
      </c>
      <c r="C10" s="4">
        <v>3000</v>
      </c>
      <c r="D10" s="69">
        <f>SUMIF($C$19:C216,"40-0-0",$D$19:D216)</f>
        <v>0</v>
      </c>
      <c r="E10" s="27">
        <f t="shared" si="0"/>
        <v>3000</v>
      </c>
      <c r="F10" s="19"/>
      <c r="G10" s="19"/>
      <c r="H10" s="19"/>
      <c r="I10" s="19"/>
      <c r="J10" s="19"/>
    </row>
    <row r="11" spans="1:10" ht="29.25" customHeight="1">
      <c r="A11" s="26" t="s">
        <v>2</v>
      </c>
      <c r="B11" s="20" t="s">
        <v>10</v>
      </c>
      <c r="C11" s="4">
        <v>5000</v>
      </c>
      <c r="D11" s="69">
        <f>SUMIF($C$19:C217,"เสื้อยืดแขนยาว",$D$19:D217)</f>
        <v>402</v>
      </c>
      <c r="E11" s="27">
        <f t="shared" si="0"/>
        <v>4598</v>
      </c>
      <c r="F11" s="19"/>
      <c r="G11" s="19"/>
      <c r="H11" s="19"/>
      <c r="I11" s="19"/>
      <c r="J11" s="19"/>
    </row>
    <row r="12" spans="1:10" ht="29.25" customHeight="1">
      <c r="A12" s="26" t="s">
        <v>2</v>
      </c>
      <c r="B12" s="20" t="s">
        <v>108</v>
      </c>
      <c r="C12" s="4"/>
      <c r="D12" s="69">
        <f>SUMIF($C$20:C219,"แบนเนอร์ตรารถเกษตร",$D$20:D219)</f>
        <v>6</v>
      </c>
      <c r="E12" s="27">
        <f t="shared" si="0"/>
        <v>-6</v>
      </c>
      <c r="F12" s="19"/>
      <c r="G12" s="19"/>
      <c r="H12" s="19"/>
      <c r="I12" s="19"/>
      <c r="J12" s="19"/>
    </row>
    <row r="13" spans="1:10" ht="29.25" customHeight="1">
      <c r="A13" s="26" t="s">
        <v>2</v>
      </c>
      <c r="B13" s="20" t="s">
        <v>55</v>
      </c>
      <c r="C13" s="4"/>
      <c r="D13" s="69">
        <f>SUMIF($C$20:C220,"18-4-5",$D$20:D220)</f>
        <v>100</v>
      </c>
      <c r="E13" s="27">
        <f t="shared" si="0"/>
        <v>-100</v>
      </c>
      <c r="F13" s="19"/>
      <c r="G13" s="19"/>
      <c r="H13" s="19"/>
      <c r="I13" s="19"/>
      <c r="J13" s="19"/>
    </row>
    <row r="14" spans="1:10" ht="29.25" customHeight="1" thickBot="1">
      <c r="A14" s="29"/>
      <c r="B14" s="30"/>
      <c r="C14" s="31"/>
      <c r="D14" s="70"/>
      <c r="E14" s="33"/>
      <c r="F14" s="19"/>
      <c r="G14" s="19"/>
      <c r="H14" s="19"/>
      <c r="I14" s="19"/>
      <c r="J14" s="19"/>
    </row>
    <row r="15" spans="1:10" s="83" customFormat="1" ht="29.25" customHeight="1" thickBot="1">
      <c r="A15" s="82"/>
      <c r="B15" s="5"/>
      <c r="C15" s="80">
        <f>SUM(C6:C14)</f>
        <v>20000</v>
      </c>
      <c r="D15" s="81">
        <f>SUM(D6:D14)</f>
        <v>508</v>
      </c>
      <c r="E15" s="80">
        <f>SUM(E6:E14)</f>
        <v>19492</v>
      </c>
      <c r="F15" s="19"/>
      <c r="G15" s="19"/>
      <c r="H15" s="19"/>
      <c r="I15" s="19"/>
      <c r="J15" s="19"/>
    </row>
    <row r="16" spans="1:10" ht="24.75" customHeight="1" thickTop="1">
      <c r="A16" s="19"/>
      <c r="B16" s="19"/>
      <c r="C16" s="19"/>
      <c r="D16" s="66"/>
      <c r="E16" s="19"/>
      <c r="F16" s="19"/>
      <c r="G16" s="19"/>
      <c r="H16" s="19"/>
      <c r="I16" s="19"/>
      <c r="J16" s="19"/>
    </row>
    <row r="17" spans="1:12" ht="24.75" customHeight="1" thickBot="1">
      <c r="A17" s="19"/>
      <c r="B17" s="19"/>
      <c r="C17" s="19"/>
      <c r="D17" s="66"/>
      <c r="E17" s="19"/>
      <c r="F17" s="19"/>
      <c r="G17" s="19"/>
      <c r="H17" s="19"/>
      <c r="I17" s="19"/>
      <c r="J17" s="19"/>
    </row>
    <row r="18" spans="1:12" ht="18" customHeight="1" thickBot="1">
      <c r="A18" s="56" t="s">
        <v>73</v>
      </c>
      <c r="B18" s="105" t="s">
        <v>72</v>
      </c>
      <c r="C18" s="106"/>
      <c r="D18" s="65" t="s">
        <v>0</v>
      </c>
      <c r="E18" s="10"/>
      <c r="H18" s="14"/>
    </row>
    <row r="19" spans="1:12" ht="18" customHeight="1">
      <c r="A19" s="63">
        <v>25235</v>
      </c>
      <c r="B19" s="84" t="s">
        <v>2</v>
      </c>
      <c r="C19" s="87" t="s">
        <v>10</v>
      </c>
      <c r="D19" s="73">
        <v>100</v>
      </c>
      <c r="E19" s="2"/>
      <c r="H19" s="14"/>
    </row>
    <row r="20" spans="1:12" ht="18" customHeight="1">
      <c r="A20" s="63">
        <v>25263</v>
      </c>
      <c r="B20" s="85" t="s">
        <v>2</v>
      </c>
      <c r="C20" s="88" t="s">
        <v>10</v>
      </c>
      <c r="D20" s="73">
        <v>196</v>
      </c>
      <c r="E20" s="2"/>
      <c r="H20" s="14"/>
    </row>
    <row r="21" spans="1:12" ht="18" customHeight="1">
      <c r="A21" s="63"/>
      <c r="B21" s="85" t="s">
        <v>2</v>
      </c>
      <c r="C21" s="88" t="s">
        <v>108</v>
      </c>
      <c r="D21" s="73">
        <v>6</v>
      </c>
      <c r="E21" s="2"/>
      <c r="H21" s="14"/>
    </row>
    <row r="22" spans="1:12" ht="18" customHeight="1">
      <c r="A22" s="63"/>
      <c r="B22" s="85" t="s">
        <v>2</v>
      </c>
      <c r="C22" s="88" t="s">
        <v>55</v>
      </c>
      <c r="D22" s="73">
        <v>100</v>
      </c>
      <c r="E22" s="2"/>
      <c r="H22" s="14"/>
    </row>
    <row r="23" spans="1:12" ht="18" customHeight="1">
      <c r="A23" s="63">
        <v>25294</v>
      </c>
      <c r="B23" s="85" t="s">
        <v>2</v>
      </c>
      <c r="C23" s="88" t="s">
        <v>7</v>
      </c>
      <c r="D23" s="73">
        <v>100</v>
      </c>
      <c r="E23" s="2"/>
      <c r="H23" s="14"/>
    </row>
    <row r="24" spans="1:12" ht="18" customHeight="1">
      <c r="A24" s="41"/>
      <c r="B24" s="85" t="s">
        <v>2</v>
      </c>
      <c r="C24" s="88" t="s">
        <v>10</v>
      </c>
      <c r="D24" s="73">
        <v>106</v>
      </c>
      <c r="E24" s="2"/>
      <c r="H24" s="14"/>
    </row>
    <row r="25" spans="1:12" ht="18" customHeight="1">
      <c r="A25" s="41"/>
      <c r="B25" s="85"/>
      <c r="C25" s="88"/>
      <c r="D25" s="73"/>
      <c r="E25" s="2"/>
      <c r="H25" s="14"/>
    </row>
    <row r="26" spans="1:12" ht="18" customHeight="1">
      <c r="A26" s="41"/>
      <c r="B26" s="85"/>
      <c r="C26" s="88"/>
      <c r="D26" s="74"/>
      <c r="E26" s="2"/>
      <c r="H26" s="14"/>
    </row>
    <row r="27" spans="1:12" ht="18" customHeight="1">
      <c r="A27" s="41"/>
      <c r="B27" s="85"/>
      <c r="C27" s="88"/>
      <c r="D27" s="74"/>
      <c r="E27" s="2"/>
      <c r="H27" s="14"/>
    </row>
    <row r="28" spans="1:12" ht="18" customHeight="1">
      <c r="A28" s="41"/>
      <c r="B28" s="85"/>
      <c r="C28" s="88"/>
      <c r="D28" s="74"/>
      <c r="E28" s="2"/>
      <c r="F28" s="2"/>
      <c r="G28" s="1"/>
      <c r="H28" s="3"/>
      <c r="I28" s="3"/>
      <c r="J28" s="6"/>
      <c r="K28" s="6"/>
    </row>
    <row r="29" spans="1:12" ht="18" customHeight="1">
      <c r="A29" s="41"/>
      <c r="B29" s="85"/>
      <c r="C29" s="88"/>
      <c r="D29" s="74"/>
      <c r="E29" s="2"/>
      <c r="F29" s="2"/>
      <c r="G29" s="3"/>
      <c r="H29" s="3"/>
      <c r="I29" s="3"/>
      <c r="J29" s="6"/>
      <c r="K29" s="6"/>
      <c r="L29" s="3"/>
    </row>
    <row r="30" spans="1:12" ht="18" customHeight="1">
      <c r="A30" s="41"/>
      <c r="B30" s="85"/>
      <c r="C30" s="88"/>
      <c r="D30" s="74"/>
      <c r="E30" s="2"/>
      <c r="F30" s="2"/>
      <c r="G30" s="3"/>
      <c r="H30" s="3"/>
      <c r="I30" s="3"/>
      <c r="J30" s="6"/>
    </row>
    <row r="31" spans="1:12" ht="17.25" customHeight="1">
      <c r="A31" s="41"/>
      <c r="B31" s="85"/>
      <c r="C31" s="88"/>
      <c r="D31" s="74"/>
      <c r="E31" s="11"/>
      <c r="F31" s="2"/>
      <c r="G31" s="3"/>
      <c r="H31" s="3"/>
      <c r="I31" s="3"/>
      <c r="J31" s="6"/>
    </row>
    <row r="32" spans="1:12" ht="17.25" customHeight="1">
      <c r="A32" s="42"/>
      <c r="B32" s="85"/>
      <c r="C32" s="88"/>
      <c r="D32" s="74"/>
      <c r="E32" s="11"/>
      <c r="F32" s="2"/>
      <c r="G32" s="1"/>
      <c r="H32" s="3"/>
      <c r="I32" s="3"/>
      <c r="J32" s="6"/>
    </row>
    <row r="33" spans="1:10" ht="17.25" customHeight="1">
      <c r="A33" s="42"/>
      <c r="B33" s="85"/>
      <c r="C33" s="88"/>
      <c r="D33" s="75"/>
      <c r="E33" s="2"/>
      <c r="F33" s="2"/>
      <c r="G33" s="1"/>
      <c r="H33" s="3"/>
      <c r="I33" s="3"/>
      <c r="J33" s="6"/>
    </row>
    <row r="34" spans="1:10" ht="17.25" customHeight="1">
      <c r="A34" s="43"/>
      <c r="B34" s="85"/>
      <c r="C34" s="88"/>
      <c r="D34" s="76"/>
      <c r="E34" s="2"/>
      <c r="F34" s="2"/>
      <c r="G34" s="1"/>
      <c r="H34" s="3"/>
      <c r="I34" s="3"/>
      <c r="J34" s="6"/>
    </row>
    <row r="35" spans="1:10" ht="17.25" customHeight="1">
      <c r="A35" s="44" t="s">
        <v>3</v>
      </c>
      <c r="B35" s="85"/>
      <c r="C35" s="88"/>
      <c r="D35" s="76"/>
      <c r="E35" s="2"/>
      <c r="F35" s="2"/>
      <c r="G35" s="1"/>
      <c r="H35" s="3"/>
      <c r="I35" s="3"/>
      <c r="J35" s="6"/>
    </row>
    <row r="36" spans="1:10" ht="17.25" customHeight="1">
      <c r="A36" s="45"/>
      <c r="B36" s="85"/>
      <c r="C36" s="88"/>
      <c r="D36" s="76"/>
      <c r="E36" s="2"/>
      <c r="F36" s="2"/>
      <c r="G36" s="1"/>
      <c r="H36" s="3"/>
      <c r="I36" s="3"/>
      <c r="J36" s="6"/>
    </row>
    <row r="37" spans="1:10" ht="17.25" customHeight="1">
      <c r="A37" s="46"/>
      <c r="B37" s="85"/>
      <c r="C37" s="88"/>
      <c r="D37" s="75"/>
      <c r="E37" s="2"/>
      <c r="F37" s="6"/>
      <c r="G37" s="1"/>
      <c r="H37" s="3"/>
      <c r="I37" s="3"/>
      <c r="J37" s="6"/>
    </row>
    <row r="38" spans="1:10" ht="17.25" customHeight="1">
      <c r="A38" s="46"/>
      <c r="B38" s="85"/>
      <c r="C38" s="88"/>
      <c r="D38" s="75"/>
      <c r="E38" s="2"/>
      <c r="F38" s="2"/>
      <c r="G38" s="1"/>
      <c r="H38" s="3"/>
      <c r="I38" s="3"/>
      <c r="J38" s="6"/>
    </row>
    <row r="39" spans="1:10" ht="17.25" customHeight="1">
      <c r="A39" s="46"/>
      <c r="B39" s="85"/>
      <c r="C39" s="88"/>
      <c r="D39" s="75"/>
      <c r="E39" s="2"/>
      <c r="F39" s="2"/>
      <c r="G39" s="6"/>
      <c r="H39" s="6"/>
      <c r="I39" s="6"/>
      <c r="J39" s="6"/>
    </row>
    <row r="40" spans="1:10" ht="17.25" customHeight="1">
      <c r="A40" s="42"/>
      <c r="B40" s="85"/>
      <c r="C40" s="88"/>
      <c r="D40" s="75"/>
      <c r="E40" s="2"/>
      <c r="F40" s="2"/>
      <c r="G40" s="1"/>
      <c r="H40" s="3"/>
      <c r="I40" s="3"/>
      <c r="J40" s="6"/>
    </row>
    <row r="41" spans="1:10" ht="17.25" customHeight="1">
      <c r="A41" s="47"/>
      <c r="B41" s="85"/>
      <c r="C41" s="88"/>
      <c r="D41" s="75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F42" s="2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F43" s="2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2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F164" s="2"/>
      <c r="G164" s="1"/>
      <c r="H164" s="3"/>
      <c r="I164" s="3"/>
      <c r="J164" s="6"/>
    </row>
    <row r="165" spans="1:10" ht="16.5" customHeight="1">
      <c r="A165" s="47"/>
      <c r="B165" s="85"/>
      <c r="C165" s="88"/>
      <c r="D165" s="75"/>
      <c r="F165" s="2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G167" s="1"/>
      <c r="H167" s="3"/>
      <c r="I167" s="3"/>
      <c r="J167" s="6"/>
    </row>
    <row r="168" spans="1:10" ht="16.5" customHeight="1">
      <c r="A168" s="47"/>
      <c r="B168" s="85"/>
      <c r="C168" s="88"/>
      <c r="D168" s="75"/>
      <c r="F168" s="2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F169" s="2"/>
      <c r="G169" s="1"/>
      <c r="H169" s="3"/>
      <c r="I169" s="3"/>
    </row>
    <row r="170" spans="1:10" ht="17.25" customHeight="1">
      <c r="A170" s="47"/>
      <c r="B170" s="85"/>
      <c r="C170" s="88"/>
      <c r="D170" s="75"/>
      <c r="F170" s="2"/>
      <c r="G170" s="1"/>
      <c r="H170" s="3"/>
      <c r="I170" s="3"/>
      <c r="J170" s="6"/>
    </row>
    <row r="171" spans="1:10" ht="17.25" customHeight="1">
      <c r="A171" s="47"/>
      <c r="B171" s="85"/>
      <c r="C171" s="88"/>
      <c r="D171" s="75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75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F173" s="2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F174" s="2"/>
      <c r="G174" s="1"/>
      <c r="H174" s="3"/>
      <c r="I174" s="3"/>
      <c r="J174" s="6"/>
    </row>
    <row r="175" spans="1:10" ht="22.5" customHeight="1">
      <c r="A175" s="47"/>
      <c r="B175" s="85"/>
      <c r="C175" s="88"/>
      <c r="D175" s="75"/>
      <c r="F175" s="2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8.75" customHeight="1">
      <c r="A203" s="47"/>
      <c r="B203" s="85"/>
      <c r="C203" s="88"/>
      <c r="D203" s="75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75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</row>
    <row r="209" spans="1:9" ht="15" customHeight="1">
      <c r="A209" s="47"/>
      <c r="B209" s="85"/>
      <c r="C209" s="88"/>
      <c r="D209" s="75"/>
      <c r="F209" s="2"/>
      <c r="G209" s="1"/>
      <c r="H209" s="3"/>
      <c r="I209" s="3"/>
    </row>
    <row r="210" spans="1:9" ht="15" customHeight="1">
      <c r="A210" s="47"/>
      <c r="B210" s="85"/>
      <c r="C210" s="88"/>
      <c r="D210" s="75"/>
      <c r="F210" s="2"/>
      <c r="G210" s="1"/>
      <c r="H210" s="3"/>
      <c r="I210" s="3"/>
    </row>
    <row r="211" spans="1:9" ht="15" customHeight="1">
      <c r="A211" s="47"/>
      <c r="B211" s="85"/>
      <c r="C211" s="88"/>
      <c r="D211" s="75"/>
      <c r="F211" s="2"/>
      <c r="G211" s="1"/>
      <c r="H211" s="3"/>
      <c r="I211" s="3"/>
    </row>
    <row r="212" spans="1:9" ht="15" customHeight="1">
      <c r="A212" s="47"/>
      <c r="B212" s="85"/>
      <c r="C212" s="88"/>
      <c r="D212" s="75"/>
    </row>
    <row r="213" spans="1:9" ht="15" customHeight="1">
      <c r="A213" s="47"/>
      <c r="B213" s="85"/>
      <c r="C213" s="88"/>
      <c r="D213" s="75"/>
    </row>
    <row r="214" spans="1:9" ht="15" customHeight="1">
      <c r="A214" s="47"/>
      <c r="B214" s="85"/>
      <c r="C214" s="88"/>
      <c r="D214" s="75"/>
    </row>
    <row r="215" spans="1:9" ht="18" customHeight="1" thickBot="1">
      <c r="A215" s="48"/>
      <c r="B215" s="86"/>
      <c r="C215" s="89"/>
      <c r="D215" s="77"/>
    </row>
    <row r="216" spans="1:9" ht="18" customHeight="1"/>
    <row r="217" spans="1:9" ht="18" customHeight="1"/>
    <row r="218" spans="1:9" ht="18" customHeight="1"/>
    <row r="219" spans="1:9" ht="18" customHeight="1"/>
    <row r="220" spans="1:9" ht="18" customHeight="1"/>
    <row r="221" spans="1:9" ht="18" customHeight="1"/>
  </sheetData>
  <mergeCells count="4">
    <mergeCell ref="A5:C5"/>
    <mergeCell ref="B18:C18"/>
    <mergeCell ref="C3:D3"/>
    <mergeCell ref="A1:E1"/>
  </mergeCells>
  <conditionalFormatting sqref="J28:J65536 J1 J5:J17 E6:E14">
    <cfRule type="cellIs" dxfId="26" priority="3" stopIfTrue="1" operator="lessThan">
      <formula>0</formula>
    </cfRule>
  </conditionalFormatting>
  <conditionalFormatting sqref="J2:J4">
    <cfRule type="cellIs" dxfId="25" priority="2" stopIfTrue="1" operator="lessThan">
      <formula>0</formula>
    </cfRule>
  </conditionalFormatting>
  <conditionalFormatting sqref="E5">
    <cfRule type="cellIs" dxfId="24" priority="1" stopIfTrue="1" operator="lessThan">
      <formula>0</formula>
    </cfRule>
  </conditionalFormatting>
  <dataValidations count="4">
    <dataValidation type="list" allowBlank="1" showInputMessage="1" showErrorMessage="1" sqref="C19:C20 C24" xr:uid="{370E0FE7-73B3-4857-B27E-CE783A1BF200}">
      <formula1>INDIRECT($A6)</formula1>
    </dataValidation>
    <dataValidation type="list" allowBlank="1" showInputMessage="1" showErrorMessage="1" sqref="C214:C215" xr:uid="{F73EA540-BCC2-4A90-906B-984E04B73CAC}">
      <formula1>INDIRECT($F205)</formula1>
    </dataValidation>
    <dataValidation type="list" allowBlank="1" showInputMessage="1" showErrorMessage="1" sqref="C21:C23 C25:C213" xr:uid="{069E1C61-77EA-4056-8F71-352ED08CE09E}">
      <formula1>INDIRECT($B21)</formula1>
    </dataValidation>
    <dataValidation type="list" allowBlank="1" showInputMessage="1" showErrorMessage="1" sqref="B6:B14" xr:uid="{38663BD6-2B7C-4980-BAD4-509C8908B390}">
      <formula1>INDIRECT($A6)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FD9D-64FC-4EF3-A935-992402B4B0BA}">
  <sheetPr>
    <tabColor rgb="FF00B0F0"/>
  </sheetPr>
  <dimension ref="A1:L221"/>
  <sheetViews>
    <sheetView zoomScaleNormal="100" workbookViewId="0">
      <selection activeCell="B3" sqref="B3"/>
    </sheetView>
  </sheetViews>
  <sheetFormatPr defaultRowHeight="23.25"/>
  <cols>
    <col min="1" max="1" width="11.140625" style="14" customWidth="1"/>
    <col min="2" max="2" width="12.85546875" style="14" customWidth="1"/>
    <col min="3" max="3" width="14.28515625" style="21" customWidth="1"/>
    <col min="4" max="4" width="14.28515625" style="17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76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8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88</v>
      </c>
      <c r="C3" s="107" t="s">
        <v>87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4"/>
      <c r="E4" s="9"/>
      <c r="F4" s="9"/>
      <c r="G4" s="9"/>
      <c r="H4" s="9"/>
      <c r="I4" s="9"/>
      <c r="J4" s="9"/>
    </row>
    <row r="5" spans="1:10" ht="27.7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7.75" customHeight="1">
      <c r="A6" s="34" t="s">
        <v>1</v>
      </c>
      <c r="B6" s="35" t="s">
        <v>15</v>
      </c>
      <c r="C6" s="36">
        <v>3000</v>
      </c>
      <c r="D6" s="37">
        <f>SUMIF($C$19:C215,"13-3-23",$D$19:D215)</f>
        <v>0</v>
      </c>
      <c r="E6" s="38">
        <f t="shared" ref="E6:E12" si="0">+C6-D6</f>
        <v>3000</v>
      </c>
      <c r="F6" s="19"/>
      <c r="G6" s="19"/>
      <c r="H6" s="19"/>
      <c r="I6" s="19"/>
      <c r="J6" s="19"/>
    </row>
    <row r="7" spans="1:10" ht="27.75" customHeight="1">
      <c r="A7" s="26" t="s">
        <v>2</v>
      </c>
      <c r="B7" s="20" t="s">
        <v>32</v>
      </c>
      <c r="C7" s="4">
        <v>1000</v>
      </c>
      <c r="D7" s="13">
        <f>SUMIF($C$19:C215,"14-7-35",$D$19:D215)</f>
        <v>0</v>
      </c>
      <c r="E7" s="27">
        <f t="shared" si="0"/>
        <v>1000</v>
      </c>
      <c r="F7" s="19"/>
      <c r="G7" s="19"/>
      <c r="H7" s="19"/>
      <c r="I7" s="19"/>
      <c r="J7" s="19"/>
    </row>
    <row r="8" spans="1:10" ht="27.75" customHeight="1">
      <c r="A8" s="26" t="s">
        <v>2</v>
      </c>
      <c r="B8" s="20" t="s">
        <v>55</v>
      </c>
      <c r="C8" s="4">
        <v>3000</v>
      </c>
      <c r="D8" s="13">
        <f>SUMIF($C$19:C216,"18-4-5",$D$19:D216)</f>
        <v>0</v>
      </c>
      <c r="E8" s="27">
        <f t="shared" si="0"/>
        <v>3000</v>
      </c>
      <c r="F8" s="19"/>
      <c r="G8" s="19"/>
      <c r="H8" s="19"/>
      <c r="I8" s="19"/>
      <c r="J8" s="19"/>
    </row>
    <row r="9" spans="1:10" ht="27.75" customHeight="1">
      <c r="A9" s="26" t="s">
        <v>1</v>
      </c>
      <c r="B9" s="20" t="s">
        <v>30</v>
      </c>
      <c r="C9" s="4">
        <v>3000</v>
      </c>
      <c r="D9" s="13">
        <f>SUMIF($C$19:C215,"20-5-3",$D$19:D215)</f>
        <v>0</v>
      </c>
      <c r="E9" s="27">
        <f t="shared" si="0"/>
        <v>3000</v>
      </c>
      <c r="F9" s="19"/>
      <c r="G9" s="19"/>
      <c r="H9" s="19"/>
      <c r="I9" s="19"/>
      <c r="J9" s="19"/>
    </row>
    <row r="10" spans="1:10" ht="27.75" customHeight="1">
      <c r="A10" s="26" t="s">
        <v>1</v>
      </c>
      <c r="B10" s="20" t="s">
        <v>8</v>
      </c>
      <c r="C10" s="4">
        <v>1000</v>
      </c>
      <c r="D10" s="13">
        <f>SUMIF($C$19:C216,"20-8-8",$D$19:D216)</f>
        <v>0</v>
      </c>
      <c r="E10" s="27">
        <f t="shared" si="0"/>
        <v>1000</v>
      </c>
      <c r="F10" s="19"/>
      <c r="G10" s="19"/>
      <c r="H10" s="19"/>
      <c r="I10" s="19"/>
      <c r="J10" s="19"/>
    </row>
    <row r="11" spans="1:10" ht="27.75" customHeight="1">
      <c r="A11" s="26" t="s">
        <v>2</v>
      </c>
      <c r="B11" s="20" t="s">
        <v>9</v>
      </c>
      <c r="C11" s="4">
        <v>1000</v>
      </c>
      <c r="D11" s="13">
        <f>SUMIF($C$19:C217,"30-0-0",$D$19:D217)</f>
        <v>0</v>
      </c>
      <c r="E11" s="27">
        <f t="shared" si="0"/>
        <v>1000</v>
      </c>
      <c r="F11" s="19"/>
      <c r="G11" s="19"/>
      <c r="H11" s="19"/>
      <c r="I11" s="19"/>
      <c r="J11" s="19"/>
    </row>
    <row r="12" spans="1:10" ht="27.75" customHeight="1">
      <c r="A12" s="26" t="s">
        <v>2</v>
      </c>
      <c r="B12" s="20" t="s">
        <v>10</v>
      </c>
      <c r="C12" s="4">
        <v>4000</v>
      </c>
      <c r="D12" s="13">
        <f>SUMIF($C$19:C218,"เสื้อยืดแขนยาว",$D$19:D218)</f>
        <v>150</v>
      </c>
      <c r="E12" s="27">
        <f t="shared" si="0"/>
        <v>3850</v>
      </c>
      <c r="F12" s="19"/>
      <c r="G12" s="19"/>
      <c r="H12" s="19"/>
      <c r="I12" s="19"/>
      <c r="J12" s="19"/>
    </row>
    <row r="13" spans="1:10" ht="27.75" customHeight="1">
      <c r="A13" s="26"/>
      <c r="B13" s="20"/>
      <c r="C13" s="4"/>
      <c r="D13" s="13"/>
      <c r="E13" s="28"/>
      <c r="F13" s="19"/>
      <c r="G13" s="19"/>
      <c r="H13" s="19"/>
      <c r="I13" s="19"/>
      <c r="J13" s="19"/>
    </row>
    <row r="14" spans="1:10" ht="27.75" customHeight="1" thickBot="1">
      <c r="A14" s="29"/>
      <c r="B14" s="30"/>
      <c r="C14" s="31"/>
      <c r="D14" s="32"/>
      <c r="E14" s="33"/>
      <c r="F14" s="19"/>
      <c r="G14" s="19"/>
      <c r="H14" s="19"/>
      <c r="I14" s="19"/>
      <c r="J14" s="19"/>
    </row>
    <row r="15" spans="1:10" s="83" customFormat="1" ht="27.75" customHeight="1" thickBot="1">
      <c r="A15" s="82"/>
      <c r="B15" s="5"/>
      <c r="C15" s="80">
        <f>SUM(C6:C14)</f>
        <v>16000</v>
      </c>
      <c r="D15" s="80">
        <f>SUM(D6:D14)</f>
        <v>150</v>
      </c>
      <c r="E15" s="80">
        <f>SUM(E6:E14)</f>
        <v>15850</v>
      </c>
      <c r="F15" s="19"/>
      <c r="G15" s="19"/>
      <c r="H15" s="19"/>
      <c r="I15" s="19"/>
      <c r="J15" s="19"/>
    </row>
    <row r="16" spans="1:10" ht="28.5" customHeight="1" thickTop="1">
      <c r="A16" s="2"/>
      <c r="B16" s="1"/>
      <c r="C16" s="3"/>
      <c r="D16" s="3"/>
      <c r="E16" s="3"/>
      <c r="F16" s="19"/>
      <c r="G16" s="19"/>
      <c r="H16" s="19"/>
      <c r="I16" s="19"/>
      <c r="J16" s="19"/>
    </row>
    <row r="17" spans="1:12" ht="28.5" customHeight="1" thickBot="1">
      <c r="A17" s="19"/>
      <c r="B17" s="19"/>
      <c r="C17" s="19"/>
      <c r="D17" s="8"/>
      <c r="E17" s="19"/>
      <c r="F17" s="19"/>
      <c r="G17" s="19"/>
      <c r="H17" s="19"/>
      <c r="I17" s="19"/>
      <c r="J17" s="19"/>
    </row>
    <row r="18" spans="1:12" ht="18" customHeight="1" thickBot="1">
      <c r="A18" s="56" t="s">
        <v>73</v>
      </c>
      <c r="B18" s="105" t="s">
        <v>72</v>
      </c>
      <c r="C18" s="106"/>
      <c r="D18" s="65" t="s">
        <v>0</v>
      </c>
      <c r="E18" s="10"/>
      <c r="H18" s="14"/>
    </row>
    <row r="19" spans="1:12" ht="18" customHeight="1">
      <c r="A19" s="63">
        <v>25263</v>
      </c>
      <c r="B19" s="84" t="s">
        <v>2</v>
      </c>
      <c r="C19" s="87" t="s">
        <v>10</v>
      </c>
      <c r="D19" s="73">
        <v>150</v>
      </c>
      <c r="E19" s="2"/>
      <c r="H19" s="14"/>
    </row>
    <row r="20" spans="1:12" ht="18" customHeight="1">
      <c r="A20" s="63"/>
      <c r="B20" s="85"/>
      <c r="C20" s="88"/>
      <c r="D20" s="73"/>
      <c r="E20" s="2"/>
      <c r="H20" s="14"/>
    </row>
    <row r="21" spans="1:12" ht="18" customHeight="1">
      <c r="A21" s="41"/>
      <c r="B21" s="85"/>
      <c r="C21" s="88"/>
      <c r="D21" s="73"/>
      <c r="E21" s="2"/>
      <c r="H21" s="14"/>
    </row>
    <row r="22" spans="1:12" ht="18" customHeight="1">
      <c r="A22" s="41"/>
      <c r="B22" s="85"/>
      <c r="C22" s="88"/>
      <c r="D22" s="73"/>
      <c r="E22" s="2"/>
      <c r="H22" s="14"/>
    </row>
    <row r="23" spans="1:12" ht="18" customHeight="1">
      <c r="A23" s="41"/>
      <c r="B23" s="85"/>
      <c r="C23" s="88"/>
      <c r="D23" s="73"/>
      <c r="E23" s="2"/>
      <c r="H23" s="14"/>
    </row>
    <row r="24" spans="1:12" ht="18" customHeight="1">
      <c r="A24" s="41"/>
      <c r="B24" s="85"/>
      <c r="C24" s="88"/>
      <c r="D24" s="73"/>
      <c r="E24" s="2"/>
      <c r="H24" s="14"/>
    </row>
    <row r="25" spans="1:12" ht="18" customHeight="1">
      <c r="A25" s="41"/>
      <c r="B25" s="85"/>
      <c r="C25" s="88"/>
      <c r="D25" s="73"/>
      <c r="E25" s="2"/>
      <c r="H25" s="14"/>
    </row>
    <row r="26" spans="1:12" ht="18" customHeight="1">
      <c r="A26" s="41"/>
      <c r="B26" s="85"/>
      <c r="C26" s="88"/>
      <c r="D26" s="74"/>
      <c r="E26" s="2"/>
      <c r="H26" s="14"/>
    </row>
    <row r="27" spans="1:12" ht="18" customHeight="1">
      <c r="A27" s="41"/>
      <c r="B27" s="85"/>
      <c r="C27" s="88"/>
      <c r="D27" s="74"/>
      <c r="E27" s="2"/>
      <c r="H27" s="14"/>
    </row>
    <row r="28" spans="1:12" ht="18" customHeight="1">
      <c r="A28" s="41"/>
      <c r="B28" s="85"/>
      <c r="C28" s="88"/>
      <c r="D28" s="74"/>
      <c r="E28" s="2"/>
      <c r="H28" s="14"/>
      <c r="K28" s="6"/>
    </row>
    <row r="29" spans="1:12" ht="18" customHeight="1">
      <c r="A29" s="41"/>
      <c r="B29" s="85"/>
      <c r="C29" s="88"/>
      <c r="D29" s="74"/>
      <c r="E29" s="2"/>
      <c r="F29" s="2"/>
      <c r="G29" s="1"/>
      <c r="H29" s="3"/>
      <c r="I29" s="3"/>
      <c r="J29" s="6"/>
      <c r="K29" s="6"/>
      <c r="L29" s="3"/>
    </row>
    <row r="30" spans="1:12" ht="18" customHeight="1">
      <c r="A30" s="41"/>
      <c r="B30" s="85"/>
      <c r="C30" s="88"/>
      <c r="D30" s="74"/>
      <c r="E30" s="2"/>
      <c r="F30" s="2"/>
      <c r="G30" s="3"/>
      <c r="H30" s="3"/>
      <c r="I30" s="3"/>
      <c r="J30" s="6"/>
    </row>
    <row r="31" spans="1:12" ht="17.25" customHeight="1">
      <c r="A31" s="41"/>
      <c r="B31" s="85"/>
      <c r="C31" s="88"/>
      <c r="D31" s="74"/>
      <c r="E31" s="11"/>
      <c r="F31" s="2"/>
      <c r="G31" s="3"/>
      <c r="H31" s="3"/>
      <c r="I31" s="3"/>
      <c r="J31" s="6"/>
    </row>
    <row r="32" spans="1:12" ht="17.25" customHeight="1">
      <c r="A32" s="42"/>
      <c r="B32" s="85"/>
      <c r="C32" s="88"/>
      <c r="D32" s="74"/>
      <c r="E32" s="11"/>
      <c r="F32" s="2"/>
      <c r="G32" s="3"/>
      <c r="H32" s="3"/>
      <c r="I32" s="3"/>
      <c r="J32" s="6"/>
    </row>
    <row r="33" spans="1:10" ht="17.25" customHeight="1">
      <c r="A33" s="42"/>
      <c r="B33" s="85"/>
      <c r="C33" s="88"/>
      <c r="D33" s="75"/>
      <c r="E33" s="2"/>
      <c r="F33" s="2"/>
      <c r="G33" s="1"/>
      <c r="H33" s="3"/>
      <c r="I33" s="3"/>
      <c r="J33" s="6"/>
    </row>
    <row r="34" spans="1:10" ht="17.25" customHeight="1">
      <c r="A34" s="43"/>
      <c r="B34" s="85"/>
      <c r="C34" s="88"/>
      <c r="D34" s="76"/>
      <c r="E34" s="2"/>
      <c r="F34" s="2"/>
      <c r="G34" s="1"/>
      <c r="H34" s="3"/>
      <c r="I34" s="3"/>
      <c r="J34" s="6"/>
    </row>
    <row r="35" spans="1:10" ht="17.25" customHeight="1">
      <c r="A35" s="44" t="s">
        <v>3</v>
      </c>
      <c r="B35" s="85"/>
      <c r="C35" s="88"/>
      <c r="D35" s="76"/>
      <c r="E35" s="2"/>
      <c r="F35" s="2"/>
      <c r="G35" s="1"/>
      <c r="H35" s="3"/>
      <c r="I35" s="3"/>
      <c r="J35" s="6"/>
    </row>
    <row r="36" spans="1:10" ht="17.25" customHeight="1">
      <c r="A36" s="45"/>
      <c r="B36" s="85"/>
      <c r="C36" s="88"/>
      <c r="D36" s="76"/>
      <c r="E36" s="2"/>
      <c r="F36" s="2"/>
      <c r="G36" s="1"/>
      <c r="H36" s="3"/>
      <c r="I36" s="3"/>
      <c r="J36" s="6"/>
    </row>
    <row r="37" spans="1:10" ht="17.25" customHeight="1">
      <c r="A37" s="46"/>
      <c r="B37" s="85"/>
      <c r="C37" s="88"/>
      <c r="D37" s="75"/>
      <c r="E37" s="2"/>
      <c r="F37" s="2"/>
      <c r="G37" s="1"/>
      <c r="H37" s="3"/>
      <c r="I37" s="3"/>
      <c r="J37" s="6"/>
    </row>
    <row r="38" spans="1:10" ht="17.25" customHeight="1">
      <c r="A38" s="46"/>
      <c r="B38" s="85"/>
      <c r="C38" s="88"/>
      <c r="D38" s="75"/>
      <c r="E38" s="2"/>
      <c r="F38" s="6"/>
      <c r="G38" s="1"/>
      <c r="H38" s="3"/>
      <c r="I38" s="3"/>
      <c r="J38" s="6"/>
    </row>
    <row r="39" spans="1:10" ht="17.25" customHeight="1">
      <c r="A39" s="46"/>
      <c r="B39" s="85"/>
      <c r="C39" s="88"/>
      <c r="D39" s="75"/>
      <c r="E39" s="2"/>
      <c r="F39" s="2"/>
      <c r="G39" s="1"/>
      <c r="H39" s="3"/>
      <c r="I39" s="3"/>
      <c r="J39" s="6"/>
    </row>
    <row r="40" spans="1:10" ht="17.25" customHeight="1">
      <c r="A40" s="42"/>
      <c r="B40" s="85"/>
      <c r="C40" s="88"/>
      <c r="D40" s="75"/>
      <c r="E40" s="2"/>
      <c r="F40" s="2"/>
      <c r="G40" s="6"/>
      <c r="H40" s="6"/>
      <c r="I40" s="6"/>
      <c r="J40" s="6"/>
    </row>
    <row r="41" spans="1:10" ht="17.25" customHeight="1">
      <c r="A41" s="47"/>
      <c r="B41" s="85"/>
      <c r="C41" s="88"/>
      <c r="D41" s="75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F42" s="2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F43" s="2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2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15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F164" s="2"/>
      <c r="G164" s="1"/>
      <c r="H164" s="3"/>
      <c r="I164" s="3"/>
      <c r="J164" s="6"/>
    </row>
    <row r="165" spans="1:10" ht="16.5" customHeight="1">
      <c r="A165" s="47"/>
      <c r="B165" s="85"/>
      <c r="C165" s="88"/>
      <c r="D165" s="75"/>
      <c r="F165" s="2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F166" s="2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G167" s="1"/>
      <c r="H167" s="3"/>
      <c r="I167" s="3"/>
      <c r="J167" s="6"/>
    </row>
    <row r="168" spans="1:10" ht="16.5" customHeight="1">
      <c r="A168" s="47"/>
      <c r="B168" s="85"/>
      <c r="C168" s="88"/>
      <c r="D168" s="75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F169" s="2"/>
      <c r="G169" s="1"/>
      <c r="H169" s="3"/>
      <c r="I169" s="3"/>
      <c r="J169" s="6"/>
    </row>
    <row r="170" spans="1:10" ht="17.25" customHeight="1">
      <c r="A170" s="47"/>
      <c r="B170" s="85"/>
      <c r="C170" s="88"/>
      <c r="D170" s="75"/>
      <c r="F170" s="2"/>
      <c r="G170" s="1"/>
      <c r="H170" s="3"/>
      <c r="I170" s="3"/>
    </row>
    <row r="171" spans="1:10" ht="17.25" customHeight="1">
      <c r="A171" s="47"/>
      <c r="B171" s="85"/>
      <c r="C171" s="88"/>
      <c r="D171" s="75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75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F173" s="2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F174" s="2"/>
      <c r="G174" s="1"/>
      <c r="H174" s="3"/>
      <c r="I174" s="3"/>
      <c r="J174" s="6"/>
    </row>
    <row r="175" spans="1:10" ht="22.5" customHeight="1">
      <c r="A175" s="47"/>
      <c r="B175" s="85"/>
      <c r="C175" s="88"/>
      <c r="D175" s="75"/>
      <c r="F175" s="2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F176" s="2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8.75" customHeight="1">
      <c r="A203" s="47"/>
      <c r="B203" s="85"/>
      <c r="C203" s="88"/>
      <c r="D203" s="75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75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  <c r="J208" s="6"/>
    </row>
    <row r="209" spans="1:9" ht="15" customHeight="1">
      <c r="A209" s="47"/>
      <c r="B209" s="85"/>
      <c r="C209" s="88"/>
      <c r="D209" s="75"/>
      <c r="F209" s="2"/>
      <c r="G209" s="1"/>
      <c r="H209" s="3"/>
      <c r="I209" s="3"/>
    </row>
    <row r="210" spans="1:9" ht="15" customHeight="1">
      <c r="A210" s="47"/>
      <c r="B210" s="85"/>
      <c r="C210" s="88"/>
      <c r="D210" s="75"/>
      <c r="F210" s="2"/>
      <c r="G210" s="1"/>
      <c r="H210" s="3"/>
      <c r="I210" s="3"/>
    </row>
    <row r="211" spans="1:9" ht="15" customHeight="1">
      <c r="A211" s="47"/>
      <c r="B211" s="85"/>
      <c r="C211" s="88"/>
      <c r="D211" s="75"/>
      <c r="F211" s="2"/>
      <c r="G211" s="1"/>
      <c r="H211" s="3"/>
      <c r="I211" s="3"/>
    </row>
    <row r="212" spans="1:9" ht="15" customHeight="1">
      <c r="A212" s="47"/>
      <c r="B212" s="85"/>
      <c r="C212" s="88"/>
      <c r="D212" s="75"/>
      <c r="F212" s="2"/>
      <c r="G212" s="1"/>
      <c r="H212" s="3"/>
      <c r="I212" s="3"/>
    </row>
    <row r="213" spans="1:9" ht="15" customHeight="1">
      <c r="A213" s="47"/>
      <c r="B213" s="85"/>
      <c r="C213" s="88"/>
      <c r="D213" s="75"/>
    </row>
    <row r="214" spans="1:9" ht="15" customHeight="1">
      <c r="A214" s="47"/>
      <c r="B214" s="85"/>
      <c r="C214" s="88"/>
      <c r="D214" s="75"/>
    </row>
    <row r="215" spans="1:9" ht="18" customHeight="1" thickBot="1">
      <c r="A215" s="48"/>
      <c r="B215" s="86"/>
      <c r="C215" s="89"/>
      <c r="D215" s="77"/>
    </row>
    <row r="216" spans="1:9" ht="18" customHeight="1">
      <c r="D216" s="78"/>
    </row>
    <row r="217" spans="1:9" ht="18" customHeight="1">
      <c r="D217" s="78"/>
    </row>
    <row r="218" spans="1:9" ht="18" customHeight="1">
      <c r="D218" s="78"/>
    </row>
    <row r="219" spans="1:9" ht="18" customHeight="1">
      <c r="D219" s="78"/>
    </row>
    <row r="220" spans="1:9" ht="18" customHeight="1">
      <c r="D220" s="78"/>
    </row>
    <row r="221" spans="1:9" ht="18" customHeight="1">
      <c r="D221" s="78"/>
    </row>
  </sheetData>
  <mergeCells count="4">
    <mergeCell ref="A1:J1"/>
    <mergeCell ref="A5:C5"/>
    <mergeCell ref="B18:C18"/>
    <mergeCell ref="C3:D3"/>
  </mergeCells>
  <conditionalFormatting sqref="J29:J65536 J1 E6:E14 J5:J17">
    <cfRule type="cellIs" dxfId="23" priority="3" stopIfTrue="1" operator="lessThan">
      <formula>0</formula>
    </cfRule>
  </conditionalFormatting>
  <conditionalFormatting sqref="J2:J4">
    <cfRule type="cellIs" dxfId="22" priority="2" stopIfTrue="1" operator="lessThan">
      <formula>0</formula>
    </cfRule>
  </conditionalFormatting>
  <conditionalFormatting sqref="E5">
    <cfRule type="cellIs" dxfId="21" priority="1" stopIfTrue="1" operator="lessThan">
      <formula>0</formula>
    </cfRule>
  </conditionalFormatting>
  <dataValidations count="2">
    <dataValidation type="list" allowBlank="1" showInputMessage="1" showErrorMessage="1" sqref="B6:B14" xr:uid="{67328013-0A5D-4706-B762-203A5EC0AEE0}">
      <formula1>INDIRECT($A6)</formula1>
    </dataValidation>
    <dataValidation type="list" allowBlank="1" showInputMessage="1" showErrorMessage="1" sqref="C19:C215" xr:uid="{18F762B2-1596-436C-B931-4F78038E9783}">
      <formula1>INDIRECT($B19)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A35F-EC69-4B31-9FB9-3F085ED5D8FF}">
  <sheetPr>
    <tabColor rgb="FF00B0F0"/>
  </sheetPr>
  <dimension ref="A1:L223"/>
  <sheetViews>
    <sheetView zoomScaleNormal="100" workbookViewId="0">
      <selection activeCell="J7" sqref="J7"/>
    </sheetView>
  </sheetViews>
  <sheetFormatPr defaultRowHeight="23.25"/>
  <cols>
    <col min="1" max="1" width="11.140625" style="14" customWidth="1"/>
    <col min="2" max="2" width="19.140625" style="14" customWidth="1"/>
    <col min="3" max="3" width="14.28515625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78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94</v>
      </c>
      <c r="C3" s="107" t="s">
        <v>93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2.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2.5" customHeight="1">
      <c r="A6" s="34" t="s">
        <v>2</v>
      </c>
      <c r="B6" s="35" t="s">
        <v>34</v>
      </c>
      <c r="C6" s="36">
        <v>2000</v>
      </c>
      <c r="D6" s="68">
        <f>SUMIF($C$21:C217,"15-3-3",$D$21:D217)</f>
        <v>0</v>
      </c>
      <c r="E6" s="38">
        <f>+C6-D6</f>
        <v>2000</v>
      </c>
      <c r="F6" s="19"/>
      <c r="G6" s="19"/>
      <c r="H6" s="19"/>
      <c r="I6" s="19"/>
      <c r="J6" s="19"/>
    </row>
    <row r="7" spans="1:10" ht="22.5" customHeight="1">
      <c r="A7" s="26" t="s">
        <v>2</v>
      </c>
      <c r="B7" s="20" t="s">
        <v>38</v>
      </c>
      <c r="C7" s="4">
        <v>3000</v>
      </c>
      <c r="D7" s="69">
        <f>SUMIF($C$21:C217,"15-7-18",$D$21:D217)</f>
        <v>0</v>
      </c>
      <c r="E7" s="27">
        <f t="shared" ref="E7:E13" si="0">+C7-D7</f>
        <v>3000</v>
      </c>
      <c r="F7" s="19"/>
      <c r="G7" s="19"/>
      <c r="H7" s="19"/>
      <c r="I7" s="19"/>
      <c r="J7" s="19"/>
    </row>
    <row r="8" spans="1:10" ht="22.5" customHeight="1">
      <c r="A8" s="26" t="s">
        <v>2</v>
      </c>
      <c r="B8" s="20" t="s">
        <v>7</v>
      </c>
      <c r="C8" s="4">
        <v>3000</v>
      </c>
      <c r="D8" s="69">
        <f>SUMIF($C$21:C218,"16-8-8",$D$21:D218)</f>
        <v>100</v>
      </c>
      <c r="E8" s="27">
        <f t="shared" si="0"/>
        <v>2900</v>
      </c>
      <c r="F8" s="19"/>
      <c r="G8" s="19"/>
      <c r="H8" s="19"/>
      <c r="I8" s="19"/>
      <c r="J8" s="19"/>
    </row>
    <row r="9" spans="1:10" ht="22.5" customHeight="1">
      <c r="A9" s="26" t="s">
        <v>2</v>
      </c>
      <c r="B9" s="20" t="s">
        <v>55</v>
      </c>
      <c r="C9" s="4">
        <v>2000</v>
      </c>
      <c r="D9" s="69">
        <f>SUMIF($C$21:C217,"18-4-5",$D$21:D217)</f>
        <v>200</v>
      </c>
      <c r="E9" s="27">
        <f t="shared" si="0"/>
        <v>1800</v>
      </c>
      <c r="F9" s="19"/>
      <c r="G9" s="19"/>
      <c r="H9" s="19"/>
      <c r="I9" s="19"/>
      <c r="J9" s="19"/>
    </row>
    <row r="10" spans="1:10" ht="22.5" customHeight="1">
      <c r="A10" s="26" t="s">
        <v>1</v>
      </c>
      <c r="B10" s="20" t="s">
        <v>8</v>
      </c>
      <c r="C10" s="4">
        <v>3000</v>
      </c>
      <c r="D10" s="69">
        <f>SUMIF($C$21:C218,"20-8-8",$D$21:D218)</f>
        <v>0</v>
      </c>
      <c r="E10" s="27">
        <f t="shared" si="0"/>
        <v>3000</v>
      </c>
      <c r="F10" s="19"/>
      <c r="G10" s="19"/>
      <c r="H10" s="19"/>
      <c r="I10" s="19"/>
      <c r="J10" s="19"/>
    </row>
    <row r="11" spans="1:10" ht="22.5" customHeight="1">
      <c r="A11" s="26" t="s">
        <v>2</v>
      </c>
      <c r="B11" s="20" t="s">
        <v>63</v>
      </c>
      <c r="C11" s="4">
        <v>3000</v>
      </c>
      <c r="D11" s="69">
        <f>SUMIF($C$21:C219,"22-6-4",$D$21:D219)</f>
        <v>0</v>
      </c>
      <c r="E11" s="27">
        <f t="shared" si="0"/>
        <v>3000</v>
      </c>
      <c r="F11" s="19"/>
      <c r="G11" s="19"/>
      <c r="H11" s="19"/>
      <c r="I11" s="19"/>
      <c r="J11" s="19"/>
    </row>
    <row r="12" spans="1:10" ht="22.5" customHeight="1">
      <c r="A12" s="26" t="s">
        <v>2</v>
      </c>
      <c r="B12" s="20" t="s">
        <v>10</v>
      </c>
      <c r="C12" s="4">
        <v>12000</v>
      </c>
      <c r="D12" s="69">
        <f>SUMIF($C$21:C220,"เสื้อยืดแขนยาว",$D$21:D220)</f>
        <v>1020</v>
      </c>
      <c r="E12" s="27">
        <f t="shared" si="0"/>
        <v>10980</v>
      </c>
      <c r="F12" s="19"/>
      <c r="G12" s="19"/>
      <c r="H12" s="19"/>
      <c r="I12" s="19"/>
      <c r="J12" s="19"/>
    </row>
    <row r="13" spans="1:10" ht="22.5" customHeight="1">
      <c r="A13" s="26" t="s">
        <v>2</v>
      </c>
      <c r="B13" s="20" t="s">
        <v>108</v>
      </c>
      <c r="C13" s="4"/>
      <c r="D13" s="69">
        <f>SUMIF($C$21:C221,"แบนเนอร์ตรารถเกษตร",$D$21:D221)</f>
        <v>1</v>
      </c>
      <c r="E13" s="27">
        <f t="shared" si="0"/>
        <v>-1</v>
      </c>
      <c r="F13" s="19"/>
      <c r="G13" s="19"/>
      <c r="H13" s="19"/>
      <c r="I13" s="19"/>
      <c r="J13" s="19"/>
    </row>
    <row r="14" spans="1:10" ht="22.5" customHeight="1">
      <c r="A14" s="26"/>
      <c r="B14" s="20"/>
      <c r="C14" s="4"/>
      <c r="D14" s="69"/>
      <c r="E14" s="27"/>
      <c r="F14" s="19"/>
      <c r="G14" s="19"/>
      <c r="H14" s="19"/>
      <c r="I14" s="19"/>
      <c r="J14" s="19"/>
    </row>
    <row r="15" spans="1:10" ht="22.5" customHeight="1">
      <c r="A15" s="26"/>
      <c r="B15" s="20"/>
      <c r="C15" s="4"/>
      <c r="D15" s="69"/>
      <c r="E15" s="28"/>
      <c r="F15" s="19"/>
      <c r="G15" s="19"/>
      <c r="H15" s="19"/>
      <c r="I15" s="19"/>
      <c r="J15" s="19"/>
    </row>
    <row r="16" spans="1:10" ht="22.5" customHeight="1" thickBot="1">
      <c r="A16" s="29"/>
      <c r="B16" s="30"/>
      <c r="C16" s="31"/>
      <c r="D16" s="70"/>
      <c r="E16" s="33"/>
      <c r="F16" s="19"/>
      <c r="G16" s="19"/>
      <c r="H16" s="19"/>
      <c r="I16" s="19"/>
      <c r="J16" s="19"/>
    </row>
    <row r="17" spans="1:12" s="83" customFormat="1" ht="22.5" customHeight="1" thickBot="1">
      <c r="A17" s="82"/>
      <c r="B17" s="5"/>
      <c r="C17" s="80">
        <f>SUM(C6:C16)</f>
        <v>28000</v>
      </c>
      <c r="D17" s="81">
        <f>SUM(D6:D16)</f>
        <v>1321</v>
      </c>
      <c r="E17" s="80">
        <f>SUM(E6:E16)</f>
        <v>26679</v>
      </c>
      <c r="F17" s="19"/>
      <c r="G17" s="19"/>
      <c r="H17" s="19"/>
      <c r="I17" s="19"/>
      <c r="J17" s="19"/>
    </row>
    <row r="18" spans="1:12" ht="22.5" customHeight="1" thickTop="1">
      <c r="A18" s="19"/>
      <c r="B18" s="19"/>
      <c r="C18" s="19"/>
      <c r="D18" s="66"/>
      <c r="E18" s="19"/>
      <c r="F18" s="19"/>
      <c r="G18" s="19"/>
      <c r="H18" s="19"/>
      <c r="I18" s="19"/>
      <c r="J18" s="19"/>
    </row>
    <row r="19" spans="1:12" ht="22.5" customHeight="1" thickBot="1">
      <c r="A19" s="19"/>
      <c r="B19" s="19"/>
      <c r="C19" s="19"/>
      <c r="D19" s="66"/>
      <c r="E19" s="19"/>
      <c r="F19" s="19"/>
      <c r="G19" s="19"/>
      <c r="H19" s="19"/>
      <c r="I19" s="19"/>
      <c r="J19" s="19"/>
    </row>
    <row r="20" spans="1:12" ht="18" customHeight="1" thickBot="1">
      <c r="A20" s="56" t="s">
        <v>73</v>
      </c>
      <c r="B20" s="105" t="s">
        <v>72</v>
      </c>
      <c r="C20" s="106"/>
      <c r="D20" s="65" t="s">
        <v>0</v>
      </c>
      <c r="E20" s="10"/>
      <c r="H20" s="14"/>
    </row>
    <row r="21" spans="1:12" ht="18" customHeight="1">
      <c r="A21" s="63">
        <v>25235</v>
      </c>
      <c r="B21" s="84" t="s">
        <v>2</v>
      </c>
      <c r="C21" s="87" t="s">
        <v>10</v>
      </c>
      <c r="D21" s="73">
        <v>490</v>
      </c>
      <c r="E21" s="2"/>
      <c r="H21" s="14"/>
    </row>
    <row r="22" spans="1:12" ht="18" customHeight="1">
      <c r="A22" s="63">
        <v>25263</v>
      </c>
      <c r="B22" s="85" t="s">
        <v>2</v>
      </c>
      <c r="C22" s="88" t="s">
        <v>7</v>
      </c>
      <c r="D22" s="73">
        <v>100</v>
      </c>
      <c r="E22" s="2"/>
      <c r="H22" s="14"/>
    </row>
    <row r="23" spans="1:12" ht="18" customHeight="1">
      <c r="A23" s="63"/>
      <c r="B23" s="85" t="s">
        <v>2</v>
      </c>
      <c r="C23" s="88" t="s">
        <v>55</v>
      </c>
      <c r="D23" s="73">
        <v>200</v>
      </c>
      <c r="E23" s="2"/>
      <c r="H23" s="14"/>
    </row>
    <row r="24" spans="1:12" ht="18" customHeight="1">
      <c r="A24" s="63"/>
      <c r="B24" s="85" t="s">
        <v>2</v>
      </c>
      <c r="C24" s="88" t="s">
        <v>10</v>
      </c>
      <c r="D24" s="73">
        <v>500</v>
      </c>
      <c r="E24" s="2"/>
      <c r="H24" s="14"/>
    </row>
    <row r="25" spans="1:12" ht="18" customHeight="1">
      <c r="A25" s="63"/>
      <c r="B25" s="85" t="s">
        <v>2</v>
      </c>
      <c r="C25" s="88" t="s">
        <v>108</v>
      </c>
      <c r="D25" s="73">
        <v>1</v>
      </c>
      <c r="E25" s="2"/>
      <c r="H25" s="14"/>
    </row>
    <row r="26" spans="1:12" ht="18" customHeight="1">
      <c r="A26" s="63">
        <v>25294</v>
      </c>
      <c r="B26" s="85" t="s">
        <v>2</v>
      </c>
      <c r="C26" s="88" t="s">
        <v>10</v>
      </c>
      <c r="D26" s="73">
        <v>30</v>
      </c>
      <c r="E26" s="2"/>
      <c r="H26" s="14"/>
    </row>
    <row r="27" spans="1:12" ht="18" customHeight="1">
      <c r="A27" s="41"/>
      <c r="B27" s="85"/>
      <c r="C27" s="88"/>
      <c r="D27" s="73"/>
      <c r="E27" s="2"/>
      <c r="H27" s="14"/>
    </row>
    <row r="28" spans="1:12" ht="18" customHeight="1">
      <c r="A28" s="41"/>
      <c r="B28" s="85"/>
      <c r="C28" s="88"/>
      <c r="D28" s="74"/>
      <c r="E28" s="2"/>
      <c r="H28" s="14"/>
    </row>
    <row r="29" spans="1:12" ht="18" customHeight="1">
      <c r="A29" s="41"/>
      <c r="B29" s="85"/>
      <c r="C29" s="88"/>
      <c r="D29" s="74"/>
      <c r="E29" s="2"/>
      <c r="H29" s="14"/>
    </row>
    <row r="30" spans="1:12" ht="18" customHeight="1">
      <c r="A30" s="41"/>
      <c r="B30" s="85"/>
      <c r="C30" s="88"/>
      <c r="D30" s="74"/>
      <c r="E30" s="2"/>
      <c r="H30" s="14"/>
      <c r="K30" s="6"/>
    </row>
    <row r="31" spans="1:12" ht="18" customHeight="1">
      <c r="A31" s="41"/>
      <c r="B31" s="85"/>
      <c r="C31" s="88"/>
      <c r="D31" s="74"/>
      <c r="E31" s="2"/>
      <c r="F31" s="2"/>
      <c r="G31" s="1"/>
      <c r="H31" s="3"/>
      <c r="I31" s="3"/>
      <c r="J31" s="6"/>
      <c r="K31" s="6"/>
      <c r="L31" s="3"/>
    </row>
    <row r="32" spans="1:12" ht="18" customHeight="1">
      <c r="A32" s="41"/>
      <c r="B32" s="85"/>
      <c r="C32" s="88"/>
      <c r="D32" s="74"/>
      <c r="E32" s="2"/>
      <c r="F32" s="2"/>
      <c r="G32" s="3"/>
      <c r="H32" s="3"/>
      <c r="I32" s="3"/>
      <c r="J32" s="6"/>
    </row>
    <row r="33" spans="1:10" ht="17.25" customHeight="1">
      <c r="A33" s="41"/>
      <c r="B33" s="85"/>
      <c r="C33" s="88"/>
      <c r="D33" s="74"/>
      <c r="E33" s="11"/>
      <c r="F33" s="2"/>
      <c r="G33" s="3"/>
      <c r="H33" s="3"/>
      <c r="I33" s="3"/>
      <c r="J33" s="6"/>
    </row>
    <row r="34" spans="1:10" ht="17.25" customHeight="1">
      <c r="A34" s="42"/>
      <c r="B34" s="85"/>
      <c r="C34" s="88"/>
      <c r="D34" s="74"/>
      <c r="E34" s="11"/>
      <c r="F34" s="2"/>
      <c r="G34" s="3"/>
      <c r="H34" s="3"/>
      <c r="I34" s="3"/>
      <c r="J34" s="6"/>
    </row>
    <row r="35" spans="1:10" ht="17.25" customHeight="1">
      <c r="A35" s="42"/>
      <c r="B35" s="85"/>
      <c r="C35" s="88"/>
      <c r="D35" s="75"/>
      <c r="E35" s="2"/>
      <c r="F35" s="2"/>
      <c r="G35" s="1"/>
      <c r="H35" s="3"/>
      <c r="I35" s="3"/>
      <c r="J35" s="6"/>
    </row>
    <row r="36" spans="1:10" ht="17.25" customHeight="1">
      <c r="A36" s="43"/>
      <c r="B36" s="85"/>
      <c r="C36" s="88"/>
      <c r="D36" s="76"/>
      <c r="E36" s="2"/>
      <c r="F36" s="2"/>
      <c r="G36" s="1"/>
      <c r="H36" s="3"/>
      <c r="I36" s="3"/>
      <c r="J36" s="6"/>
    </row>
    <row r="37" spans="1:10" ht="17.25" customHeight="1">
      <c r="A37" s="44" t="s">
        <v>3</v>
      </c>
      <c r="B37" s="85"/>
      <c r="C37" s="88"/>
      <c r="D37" s="76"/>
      <c r="E37" s="2"/>
      <c r="F37" s="2"/>
      <c r="G37" s="1"/>
      <c r="H37" s="3"/>
      <c r="I37" s="3"/>
      <c r="J37" s="6"/>
    </row>
    <row r="38" spans="1:10" ht="17.25" customHeight="1">
      <c r="A38" s="45"/>
      <c r="B38" s="85"/>
      <c r="C38" s="88"/>
      <c r="D38" s="76"/>
      <c r="E38" s="2"/>
      <c r="F38" s="2"/>
      <c r="G38" s="1"/>
      <c r="H38" s="3"/>
      <c r="I38" s="3"/>
      <c r="J38" s="6"/>
    </row>
    <row r="39" spans="1:10" ht="17.25" customHeight="1">
      <c r="A39" s="46"/>
      <c r="B39" s="85"/>
      <c r="C39" s="88"/>
      <c r="D39" s="75"/>
      <c r="E39" s="2"/>
      <c r="F39" s="2"/>
      <c r="G39" s="1"/>
      <c r="H39" s="3"/>
      <c r="I39" s="3"/>
      <c r="J39" s="6"/>
    </row>
    <row r="40" spans="1:10" ht="17.25" customHeight="1">
      <c r="A40" s="46"/>
      <c r="B40" s="85"/>
      <c r="C40" s="88"/>
      <c r="D40" s="75"/>
      <c r="E40" s="2"/>
      <c r="F40" s="6"/>
      <c r="G40" s="1"/>
      <c r="H40" s="3"/>
      <c r="I40" s="3"/>
      <c r="J40" s="6"/>
    </row>
    <row r="41" spans="1:10" ht="17.25" customHeight="1">
      <c r="A41" s="46"/>
      <c r="B41" s="85"/>
      <c r="C41" s="88"/>
      <c r="D41" s="75"/>
      <c r="E41" s="2"/>
      <c r="F41" s="2"/>
      <c r="G41" s="1"/>
      <c r="H41" s="3"/>
      <c r="I41" s="3"/>
      <c r="J41" s="6"/>
    </row>
    <row r="42" spans="1:10" ht="17.25" customHeight="1">
      <c r="A42" s="42"/>
      <c r="B42" s="85"/>
      <c r="C42" s="88"/>
      <c r="D42" s="75"/>
      <c r="E42" s="2"/>
      <c r="F42" s="2"/>
      <c r="G42" s="6"/>
      <c r="H42" s="6"/>
      <c r="I42" s="6"/>
      <c r="J42" s="6"/>
    </row>
    <row r="43" spans="1:10" ht="17.25" customHeight="1">
      <c r="A43" s="47"/>
      <c r="B43" s="85"/>
      <c r="C43" s="88"/>
      <c r="D43" s="75"/>
      <c r="F43" s="2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2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2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2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15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F164" s="15"/>
      <c r="G164" s="1"/>
      <c r="H164" s="3"/>
      <c r="I164" s="3"/>
      <c r="J164" s="6"/>
    </row>
    <row r="165" spans="1:10" ht="17.25" customHeight="1">
      <c r="A165" s="47"/>
      <c r="B165" s="85"/>
      <c r="C165" s="88"/>
      <c r="D165" s="75"/>
      <c r="F165" s="15"/>
      <c r="G165" s="1"/>
      <c r="H165" s="3"/>
      <c r="I165" s="3"/>
      <c r="J165" s="6"/>
    </row>
    <row r="166" spans="1:10" ht="17.25" customHeight="1">
      <c r="A166" s="47"/>
      <c r="B166" s="85"/>
      <c r="C166" s="88"/>
      <c r="D166" s="75"/>
      <c r="F166" s="2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F167" s="2"/>
      <c r="G167" s="1"/>
      <c r="H167" s="3"/>
      <c r="I167" s="3"/>
      <c r="J167" s="6"/>
    </row>
    <row r="168" spans="1:10" ht="16.5" customHeight="1">
      <c r="A168" s="47"/>
      <c r="B168" s="85"/>
      <c r="C168" s="88"/>
      <c r="D168" s="75"/>
      <c r="F168" s="2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G169" s="1"/>
      <c r="H169" s="3"/>
      <c r="I169" s="3"/>
      <c r="J169" s="6"/>
    </row>
    <row r="170" spans="1:10" ht="16.5" customHeight="1">
      <c r="A170" s="47"/>
      <c r="B170" s="85"/>
      <c r="C170" s="88"/>
      <c r="D170" s="75"/>
      <c r="G170" s="1"/>
      <c r="H170" s="3"/>
      <c r="I170" s="3"/>
      <c r="J170" s="6"/>
    </row>
    <row r="171" spans="1:10" ht="16.5" customHeight="1">
      <c r="A171" s="47"/>
      <c r="B171" s="85"/>
      <c r="C171" s="88"/>
      <c r="D171" s="75"/>
      <c r="F171" s="2"/>
      <c r="G171" s="1"/>
      <c r="H171" s="3"/>
      <c r="I171" s="3"/>
      <c r="J171" s="6"/>
    </row>
    <row r="172" spans="1:10" ht="17.25" customHeight="1">
      <c r="A172" s="47"/>
      <c r="B172" s="85"/>
      <c r="C172" s="88"/>
      <c r="D172" s="75"/>
      <c r="F172" s="2"/>
      <c r="G172" s="1"/>
      <c r="H172" s="3"/>
      <c r="I172" s="3"/>
    </row>
    <row r="173" spans="1:10" ht="17.25" customHeight="1">
      <c r="A173" s="47"/>
      <c r="B173" s="85"/>
      <c r="C173" s="88"/>
      <c r="D173" s="75"/>
      <c r="F173" s="2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F174" s="2"/>
      <c r="G174" s="1"/>
      <c r="H174" s="3"/>
      <c r="I174" s="3"/>
      <c r="J174" s="6"/>
    </row>
    <row r="175" spans="1:10" ht="18" customHeight="1">
      <c r="A175" s="47"/>
      <c r="B175" s="85"/>
      <c r="C175" s="88"/>
      <c r="D175" s="75"/>
      <c r="F175" s="2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F176" s="2"/>
      <c r="G176" s="1"/>
      <c r="H176" s="3"/>
      <c r="I176" s="3"/>
      <c r="J176" s="6"/>
    </row>
    <row r="177" spans="1:10" ht="22.5" customHeight="1">
      <c r="A177" s="47"/>
      <c r="B177" s="85"/>
      <c r="C177" s="88"/>
      <c r="D177" s="75"/>
      <c r="F177" s="2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F178" s="2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G185" s="1"/>
      <c r="H185" s="3"/>
      <c r="I185" s="3"/>
      <c r="J185" s="6"/>
    </row>
    <row r="186" spans="1:10" ht="18" customHeight="1">
      <c r="A186" s="47"/>
      <c r="B186" s="85"/>
      <c r="C186" s="88"/>
      <c r="D186" s="75"/>
      <c r="G186" s="1"/>
      <c r="H186" s="3"/>
      <c r="I186" s="3"/>
      <c r="J186" s="6"/>
    </row>
    <row r="187" spans="1:10" ht="18" customHeight="1">
      <c r="A187" s="47"/>
      <c r="B187" s="85"/>
      <c r="C187" s="88"/>
      <c r="D187" s="75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F204" s="2"/>
      <c r="G204" s="1"/>
      <c r="H204" s="3"/>
      <c r="I204" s="3"/>
      <c r="J204" s="6"/>
    </row>
    <row r="205" spans="1:10" ht="18.7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75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  <c r="J208" s="6"/>
    </row>
    <row r="209" spans="1:10" ht="15" customHeight="1">
      <c r="A209" s="47"/>
      <c r="B209" s="85"/>
      <c r="C209" s="88"/>
      <c r="D209" s="75"/>
      <c r="F209" s="2"/>
      <c r="G209" s="1"/>
      <c r="H209" s="3"/>
      <c r="I209" s="3"/>
      <c r="J209" s="6"/>
    </row>
    <row r="210" spans="1:10" ht="15" customHeight="1">
      <c r="A210" s="47"/>
      <c r="B210" s="85"/>
      <c r="C210" s="88"/>
      <c r="D210" s="75"/>
      <c r="F210" s="2"/>
      <c r="G210" s="1"/>
      <c r="H210" s="3"/>
      <c r="I210" s="3"/>
      <c r="J210" s="6"/>
    </row>
    <row r="211" spans="1:10" ht="15" customHeight="1">
      <c r="A211" s="47"/>
      <c r="B211" s="85"/>
      <c r="C211" s="88"/>
      <c r="D211" s="75"/>
      <c r="F211" s="2"/>
      <c r="G211" s="1"/>
      <c r="H211" s="3"/>
      <c r="I211" s="3"/>
    </row>
    <row r="212" spans="1:10" ht="15" customHeight="1">
      <c r="A212" s="47"/>
      <c r="B212" s="85"/>
      <c r="C212" s="88"/>
      <c r="D212" s="75"/>
      <c r="F212" s="2"/>
      <c r="G212" s="1"/>
      <c r="H212" s="3"/>
      <c r="I212" s="3"/>
    </row>
    <row r="213" spans="1:10" ht="15" customHeight="1">
      <c r="A213" s="47"/>
      <c r="B213" s="85"/>
      <c r="C213" s="88"/>
      <c r="D213" s="75"/>
      <c r="F213" s="2"/>
      <c r="G213" s="1"/>
      <c r="H213" s="3"/>
      <c r="I213" s="3"/>
    </row>
    <row r="214" spans="1:10" ht="15" customHeight="1">
      <c r="A214" s="47"/>
      <c r="B214" s="85"/>
      <c r="C214" s="88"/>
      <c r="D214" s="75"/>
      <c r="F214" s="2"/>
      <c r="G214" s="1"/>
      <c r="H214" s="3"/>
      <c r="I214" s="3"/>
    </row>
    <row r="215" spans="1:10" ht="15" customHeight="1">
      <c r="A215" s="47"/>
      <c r="B215" s="85"/>
      <c r="C215" s="88"/>
      <c r="D215" s="75"/>
    </row>
    <row r="216" spans="1:10" ht="15" customHeight="1">
      <c r="A216" s="47"/>
      <c r="B216" s="85"/>
      <c r="C216" s="88"/>
      <c r="D216" s="75"/>
    </row>
    <row r="217" spans="1:10" ht="18" customHeight="1" thickBot="1">
      <c r="A217" s="48"/>
      <c r="B217" s="86"/>
      <c r="C217" s="89"/>
      <c r="D217" s="77"/>
    </row>
    <row r="218" spans="1:10" ht="18" customHeight="1"/>
    <row r="219" spans="1:10" ht="18" customHeight="1"/>
    <row r="220" spans="1:10" ht="18" customHeight="1"/>
    <row r="221" spans="1:10" ht="18" customHeight="1"/>
    <row r="222" spans="1:10" ht="18" customHeight="1"/>
    <row r="223" spans="1:10" ht="18" customHeight="1"/>
  </sheetData>
  <mergeCells count="4">
    <mergeCell ref="A1:J1"/>
    <mergeCell ref="B20:C20"/>
    <mergeCell ref="A5:C5"/>
    <mergeCell ref="C3:D3"/>
  </mergeCells>
  <phoneticPr fontId="2" type="noConversion"/>
  <conditionalFormatting sqref="J31:J65536 J1 J5:J19 E6:E16">
    <cfRule type="cellIs" dxfId="20" priority="3" stopIfTrue="1" operator="lessThan">
      <formula>0</formula>
    </cfRule>
  </conditionalFormatting>
  <conditionalFormatting sqref="J2:J4">
    <cfRule type="cellIs" dxfId="19" priority="2" stopIfTrue="1" operator="lessThan">
      <formula>0</formula>
    </cfRule>
  </conditionalFormatting>
  <conditionalFormatting sqref="E5">
    <cfRule type="cellIs" dxfId="18" priority="1" stopIfTrue="1" operator="lessThan">
      <formula>0</formula>
    </cfRule>
  </conditionalFormatting>
  <dataValidations count="2">
    <dataValidation type="list" allowBlank="1" showInputMessage="1" showErrorMessage="1" sqref="B6:B16" xr:uid="{13A96FEB-165B-437F-AF57-BE360BEF91E8}">
      <formula1>INDIRECT($A6)</formula1>
    </dataValidation>
    <dataValidation type="list" allowBlank="1" showInputMessage="1" showErrorMessage="1" sqref="C21:C217" xr:uid="{80370AF4-F421-435D-856C-C354EB98123D}">
      <formula1>INDIRECT($B21)</formula1>
    </dataValidation>
  </dataValidation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67E8-B1CE-4561-A25D-5AC857CB42BE}">
  <sheetPr>
    <tabColor rgb="FF00B0F0"/>
  </sheetPr>
  <dimension ref="A1:L218"/>
  <sheetViews>
    <sheetView zoomScaleNormal="100" workbookViewId="0">
      <selection activeCell="A18" sqref="A18:B18"/>
    </sheetView>
  </sheetViews>
  <sheetFormatPr defaultRowHeight="23.25"/>
  <cols>
    <col min="1" max="1" width="11.140625" style="14" customWidth="1"/>
    <col min="2" max="2" width="12.140625" style="14" customWidth="1"/>
    <col min="3" max="3" width="14.28515625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75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90</v>
      </c>
      <c r="C3" s="107" t="s">
        <v>89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7.7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7.75" customHeight="1">
      <c r="A6" s="34" t="s">
        <v>2</v>
      </c>
      <c r="B6" s="35" t="s">
        <v>32</v>
      </c>
      <c r="C6" s="36">
        <v>3000</v>
      </c>
      <c r="D6" s="68">
        <f>SUMIF(C16:C212,"14-7-35",D16:D212)</f>
        <v>0</v>
      </c>
      <c r="E6" s="38">
        <f>+C6-D6</f>
        <v>3000</v>
      </c>
      <c r="F6" s="19"/>
      <c r="G6" s="19"/>
      <c r="H6" s="19"/>
      <c r="I6" s="19"/>
      <c r="J6" s="19"/>
    </row>
    <row r="7" spans="1:10" ht="27.75" customHeight="1">
      <c r="A7" s="26" t="s">
        <v>2</v>
      </c>
      <c r="B7" s="20" t="s">
        <v>19</v>
      </c>
      <c r="C7" s="4">
        <v>3000</v>
      </c>
      <c r="D7" s="69">
        <f>SUMIF(C16:C212,"15-5-20",D16:D212)</f>
        <v>0</v>
      </c>
      <c r="E7" s="27">
        <f>+C7-D7</f>
        <v>3000</v>
      </c>
      <c r="F7" s="19"/>
      <c r="G7" s="19"/>
      <c r="H7" s="19"/>
      <c r="I7" s="19"/>
      <c r="J7" s="19"/>
    </row>
    <row r="8" spans="1:10" ht="27.75" customHeight="1">
      <c r="A8" s="26" t="s">
        <v>2</v>
      </c>
      <c r="B8" s="20" t="s">
        <v>23</v>
      </c>
      <c r="C8" s="4">
        <v>3000</v>
      </c>
      <c r="D8" s="69">
        <f>SUMIF(C16:C212,"15-10-30",D16:D212)</f>
        <v>0</v>
      </c>
      <c r="E8" s="27">
        <f>+C8-D8</f>
        <v>3000</v>
      </c>
      <c r="F8" s="19"/>
      <c r="G8" s="19"/>
      <c r="H8" s="19"/>
      <c r="I8" s="19"/>
      <c r="J8" s="19"/>
    </row>
    <row r="9" spans="1:10" ht="27.75" customHeight="1">
      <c r="A9" s="26" t="s">
        <v>2</v>
      </c>
      <c r="B9" s="20" t="s">
        <v>10</v>
      </c>
      <c r="C9" s="4">
        <v>3270</v>
      </c>
      <c r="D9" s="69">
        <f>SUMIF($C$16:C212,"เสื้อยืดแขนยาว",$D$16:D212)</f>
        <v>180</v>
      </c>
      <c r="E9" s="27">
        <f>+C9-D9</f>
        <v>3090</v>
      </c>
      <c r="F9" s="19"/>
      <c r="G9" s="19"/>
      <c r="H9" s="19"/>
      <c r="I9" s="19"/>
      <c r="J9" s="19"/>
    </row>
    <row r="10" spans="1:10" ht="27.75" customHeight="1">
      <c r="A10" s="26"/>
      <c r="B10" s="20"/>
      <c r="C10" s="4"/>
      <c r="D10" s="69"/>
      <c r="E10" s="28"/>
      <c r="F10" s="19"/>
      <c r="G10" s="19"/>
      <c r="H10" s="19"/>
      <c r="I10" s="19"/>
      <c r="J10" s="19"/>
    </row>
    <row r="11" spans="1:10" ht="27.75" customHeight="1" thickBot="1">
      <c r="A11" s="29"/>
      <c r="B11" s="30"/>
      <c r="C11" s="31"/>
      <c r="D11" s="70"/>
      <c r="E11" s="33"/>
      <c r="F11" s="19"/>
      <c r="G11" s="19"/>
      <c r="H11" s="19"/>
      <c r="I11" s="19"/>
      <c r="J11" s="19"/>
    </row>
    <row r="12" spans="1:10" s="83" customFormat="1" ht="27.75" customHeight="1" thickBot="1">
      <c r="A12" s="82"/>
      <c r="B12" s="5"/>
      <c r="C12" s="80">
        <f>SUM(C6:C11)</f>
        <v>12270</v>
      </c>
      <c r="D12" s="81">
        <f>SUM(D6:D11)</f>
        <v>180</v>
      </c>
      <c r="E12" s="80">
        <f>SUM(E6:E11)</f>
        <v>12090</v>
      </c>
      <c r="F12" s="19"/>
      <c r="G12" s="19"/>
      <c r="H12" s="19"/>
      <c r="I12" s="19"/>
      <c r="J12" s="19"/>
    </row>
    <row r="13" spans="1:10" ht="18.75" customHeight="1" thickTop="1">
      <c r="A13" s="19"/>
      <c r="B13" s="19"/>
      <c r="C13" s="19"/>
      <c r="D13" s="66"/>
      <c r="E13" s="19"/>
      <c r="F13" s="19"/>
      <c r="G13" s="19"/>
      <c r="H13" s="19"/>
      <c r="I13" s="19"/>
      <c r="J13" s="19"/>
    </row>
    <row r="14" spans="1:10" ht="18.75" customHeight="1" thickBot="1">
      <c r="A14" s="19"/>
      <c r="B14" s="19"/>
      <c r="C14" s="19"/>
      <c r="D14" s="66"/>
      <c r="E14" s="19"/>
      <c r="F14" s="19"/>
      <c r="G14" s="19"/>
      <c r="H14" s="19"/>
      <c r="I14" s="19"/>
      <c r="J14" s="19"/>
    </row>
    <row r="15" spans="1:10" ht="18" customHeight="1" thickBot="1">
      <c r="A15" s="56" t="s">
        <v>73</v>
      </c>
      <c r="B15" s="105" t="s">
        <v>72</v>
      </c>
      <c r="C15" s="106"/>
      <c r="D15" s="65" t="s">
        <v>0</v>
      </c>
      <c r="E15" s="10"/>
      <c r="H15" s="14"/>
    </row>
    <row r="16" spans="1:10" ht="18" customHeight="1">
      <c r="A16" s="63">
        <v>25235</v>
      </c>
      <c r="B16" s="84" t="s">
        <v>2</v>
      </c>
      <c r="C16" s="87" t="s">
        <v>10</v>
      </c>
      <c r="D16" s="73">
        <v>60</v>
      </c>
      <c r="E16" s="2"/>
      <c r="H16" s="14"/>
    </row>
    <row r="17" spans="1:12" ht="18" customHeight="1">
      <c r="A17" s="63">
        <v>244409</v>
      </c>
      <c r="B17" s="85" t="s">
        <v>2</v>
      </c>
      <c r="C17" s="88" t="s">
        <v>10</v>
      </c>
      <c r="D17" s="73">
        <v>90</v>
      </c>
      <c r="E17" s="2"/>
      <c r="H17" s="14"/>
    </row>
    <row r="18" spans="1:12" ht="18" customHeight="1">
      <c r="A18" s="63">
        <v>25294</v>
      </c>
      <c r="B18" s="85" t="s">
        <v>2</v>
      </c>
      <c r="C18" s="88" t="s">
        <v>10</v>
      </c>
      <c r="D18" s="73">
        <v>30</v>
      </c>
      <c r="E18" s="2"/>
      <c r="H18" s="14"/>
    </row>
    <row r="19" spans="1:12" ht="18" customHeight="1">
      <c r="A19" s="41"/>
      <c r="B19" s="85"/>
      <c r="C19" s="88"/>
      <c r="D19" s="73"/>
      <c r="E19" s="2"/>
      <c r="H19" s="14"/>
    </row>
    <row r="20" spans="1:12" ht="18" customHeight="1">
      <c r="A20" s="41"/>
      <c r="B20" s="85"/>
      <c r="C20" s="88"/>
      <c r="D20" s="73"/>
      <c r="E20" s="2"/>
      <c r="H20" s="14"/>
    </row>
    <row r="21" spans="1:12" ht="18" customHeight="1">
      <c r="A21" s="41"/>
      <c r="B21" s="85"/>
      <c r="C21" s="88"/>
      <c r="D21" s="73"/>
      <c r="E21" s="2"/>
      <c r="H21" s="14"/>
    </row>
    <row r="22" spans="1:12" ht="18" customHeight="1">
      <c r="A22" s="41"/>
      <c r="B22" s="85"/>
      <c r="C22" s="88"/>
      <c r="D22" s="73"/>
      <c r="E22" s="2"/>
      <c r="H22" s="14"/>
    </row>
    <row r="23" spans="1:12" ht="18" customHeight="1">
      <c r="A23" s="41"/>
      <c r="B23" s="85"/>
      <c r="C23" s="88"/>
      <c r="D23" s="74"/>
      <c r="E23" s="2"/>
      <c r="F23" s="2"/>
      <c r="G23" s="1"/>
      <c r="H23" s="3"/>
      <c r="I23" s="3"/>
      <c r="J23" s="6"/>
    </row>
    <row r="24" spans="1:12" ht="18" customHeight="1">
      <c r="A24" s="41"/>
      <c r="B24" s="85"/>
      <c r="C24" s="88"/>
      <c r="D24" s="74"/>
      <c r="E24" s="2"/>
      <c r="F24" s="2"/>
      <c r="G24" s="3"/>
      <c r="H24" s="3"/>
      <c r="I24" s="3"/>
      <c r="J24" s="6"/>
    </row>
    <row r="25" spans="1:12" ht="18" customHeight="1">
      <c r="A25" s="41"/>
      <c r="B25" s="85"/>
      <c r="C25" s="88"/>
      <c r="D25" s="74"/>
      <c r="E25" s="2"/>
      <c r="F25" s="2"/>
      <c r="G25" s="3"/>
      <c r="H25" s="3"/>
      <c r="I25" s="3"/>
      <c r="J25" s="6"/>
      <c r="K25" s="6"/>
    </row>
    <row r="26" spans="1:12" ht="18" customHeight="1">
      <c r="A26" s="41"/>
      <c r="B26" s="85"/>
      <c r="C26" s="88"/>
      <c r="D26" s="74"/>
      <c r="E26" s="2"/>
      <c r="F26" s="2"/>
      <c r="G26" s="3"/>
      <c r="H26" s="3"/>
      <c r="I26" s="3"/>
      <c r="J26" s="6"/>
      <c r="K26" s="6"/>
      <c r="L26" s="3"/>
    </row>
    <row r="27" spans="1:12" ht="18" customHeight="1">
      <c r="A27" s="41"/>
      <c r="B27" s="85"/>
      <c r="C27" s="88"/>
      <c r="D27" s="74"/>
      <c r="E27" s="2"/>
      <c r="F27" s="2"/>
      <c r="G27" s="1"/>
      <c r="H27" s="3"/>
      <c r="I27" s="3"/>
      <c r="J27" s="6"/>
    </row>
    <row r="28" spans="1:12" ht="17.25" customHeight="1">
      <c r="A28" s="41"/>
      <c r="B28" s="85"/>
      <c r="C28" s="88"/>
      <c r="D28" s="74"/>
      <c r="E28" s="11"/>
      <c r="F28" s="2"/>
      <c r="G28" s="1"/>
      <c r="H28" s="3"/>
      <c r="I28" s="3"/>
      <c r="J28" s="6"/>
    </row>
    <row r="29" spans="1:12" ht="17.25" customHeight="1">
      <c r="A29" s="42"/>
      <c r="B29" s="85"/>
      <c r="C29" s="88"/>
      <c r="D29" s="74"/>
      <c r="E29" s="11"/>
      <c r="F29" s="2"/>
      <c r="G29" s="1"/>
      <c r="H29" s="3"/>
      <c r="I29" s="3"/>
      <c r="J29" s="6"/>
    </row>
    <row r="30" spans="1:12" ht="17.25" customHeight="1">
      <c r="A30" s="42"/>
      <c r="B30" s="85"/>
      <c r="C30" s="88"/>
      <c r="D30" s="75"/>
      <c r="E30" s="2"/>
      <c r="F30" s="2"/>
      <c r="G30" s="1"/>
      <c r="H30" s="3"/>
      <c r="I30" s="3"/>
      <c r="J30" s="6"/>
    </row>
    <row r="31" spans="1:12" ht="17.25" customHeight="1">
      <c r="A31" s="43"/>
      <c r="B31" s="85"/>
      <c r="C31" s="88"/>
      <c r="D31" s="76"/>
      <c r="E31" s="2"/>
      <c r="F31" s="2"/>
      <c r="G31" s="1"/>
      <c r="H31" s="3"/>
      <c r="I31" s="3"/>
      <c r="J31" s="6"/>
    </row>
    <row r="32" spans="1:12" ht="17.25" customHeight="1">
      <c r="A32" s="44" t="s">
        <v>3</v>
      </c>
      <c r="B32" s="85"/>
      <c r="C32" s="88"/>
      <c r="D32" s="76"/>
      <c r="E32" s="2"/>
      <c r="F32" s="6"/>
      <c r="G32" s="1"/>
      <c r="H32" s="3"/>
      <c r="I32" s="3"/>
      <c r="J32" s="6"/>
    </row>
    <row r="33" spans="1:10" ht="17.25" customHeight="1">
      <c r="A33" s="45"/>
      <c r="B33" s="85"/>
      <c r="C33" s="88"/>
      <c r="D33" s="76"/>
      <c r="E33" s="2"/>
      <c r="F33" s="2"/>
      <c r="G33" s="1"/>
      <c r="H33" s="3"/>
      <c r="I33" s="3"/>
      <c r="J33" s="6"/>
    </row>
    <row r="34" spans="1:10" ht="17.25" customHeight="1">
      <c r="A34" s="46"/>
      <c r="B34" s="85"/>
      <c r="C34" s="88"/>
      <c r="D34" s="75"/>
      <c r="E34" s="2"/>
      <c r="F34" s="2"/>
      <c r="G34" s="6"/>
      <c r="H34" s="6"/>
      <c r="I34" s="6"/>
      <c r="J34" s="6"/>
    </row>
    <row r="35" spans="1:10" ht="17.25" customHeight="1">
      <c r="A35" s="46"/>
      <c r="B35" s="85"/>
      <c r="C35" s="88"/>
      <c r="D35" s="75"/>
      <c r="E35" s="2"/>
      <c r="F35" s="2"/>
      <c r="G35" s="1"/>
      <c r="H35" s="3"/>
      <c r="I35" s="3"/>
      <c r="J35" s="6"/>
    </row>
    <row r="36" spans="1:10" ht="17.25" customHeight="1">
      <c r="A36" s="46"/>
      <c r="B36" s="85"/>
      <c r="C36" s="88"/>
      <c r="D36" s="75"/>
      <c r="E36" s="2"/>
      <c r="F36" s="2"/>
      <c r="G36" s="1"/>
      <c r="H36" s="3"/>
      <c r="I36" s="3"/>
      <c r="J36" s="6"/>
    </row>
    <row r="37" spans="1:10" ht="17.25" customHeight="1">
      <c r="A37" s="42"/>
      <c r="B37" s="85"/>
      <c r="C37" s="88"/>
      <c r="D37" s="75"/>
      <c r="E37" s="2"/>
      <c r="F37" s="2"/>
      <c r="G37" s="1"/>
      <c r="H37" s="3"/>
      <c r="I37" s="3"/>
      <c r="J37" s="6"/>
    </row>
    <row r="38" spans="1:10" ht="17.25" customHeight="1">
      <c r="A38" s="47"/>
      <c r="B38" s="85"/>
      <c r="C38" s="88"/>
      <c r="D38" s="75"/>
      <c r="F38" s="2"/>
      <c r="G38" s="1"/>
      <c r="H38" s="3"/>
      <c r="I38" s="3"/>
      <c r="J38" s="6"/>
    </row>
    <row r="39" spans="1:10" ht="17.25" customHeight="1">
      <c r="A39" s="47"/>
      <c r="B39" s="85"/>
      <c r="C39" s="88"/>
      <c r="D39" s="75"/>
      <c r="F39" s="15"/>
      <c r="G39" s="1"/>
      <c r="H39" s="3"/>
      <c r="I39" s="3"/>
      <c r="J39" s="6"/>
    </row>
    <row r="40" spans="1:10" ht="17.25" customHeight="1">
      <c r="A40" s="47"/>
      <c r="B40" s="85"/>
      <c r="C40" s="88"/>
      <c r="D40" s="75"/>
      <c r="F40" s="15"/>
      <c r="G40" s="1"/>
      <c r="H40" s="3"/>
      <c r="I40" s="3"/>
      <c r="J40" s="6"/>
    </row>
    <row r="41" spans="1:10" ht="17.25" customHeight="1">
      <c r="A41" s="47"/>
      <c r="B41" s="85"/>
      <c r="C41" s="88"/>
      <c r="D41" s="75"/>
      <c r="F41" s="15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F42" s="15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F43" s="15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2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2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2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G161" s="1"/>
      <c r="H161" s="3"/>
      <c r="I161" s="3"/>
      <c r="J161" s="6"/>
    </row>
    <row r="162" spans="1:10" ht="16.5" customHeight="1">
      <c r="A162" s="47"/>
      <c r="B162" s="85"/>
      <c r="C162" s="88"/>
      <c r="D162" s="75"/>
      <c r="G162" s="1"/>
      <c r="H162" s="3"/>
      <c r="I162" s="3"/>
      <c r="J162" s="6"/>
    </row>
    <row r="163" spans="1:10" ht="16.5" customHeight="1">
      <c r="A163" s="47"/>
      <c r="B163" s="85"/>
      <c r="C163" s="88"/>
      <c r="D163" s="75"/>
      <c r="F163" s="2"/>
      <c r="G163" s="1"/>
      <c r="H163" s="3"/>
      <c r="I163" s="3"/>
      <c r="J163" s="6"/>
    </row>
    <row r="164" spans="1:10" ht="16.5" customHeight="1">
      <c r="A164" s="47"/>
      <c r="B164" s="85"/>
      <c r="C164" s="88"/>
      <c r="D164" s="75"/>
      <c r="F164" s="2"/>
      <c r="G164" s="1"/>
      <c r="H164" s="3"/>
      <c r="I164" s="3"/>
    </row>
    <row r="165" spans="1:10" ht="16.5" customHeight="1">
      <c r="A165" s="47"/>
      <c r="B165" s="85"/>
      <c r="C165" s="88"/>
      <c r="D165" s="75"/>
      <c r="F165" s="2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F166" s="2"/>
      <c r="G166" s="1"/>
      <c r="H166" s="3"/>
      <c r="I166" s="3"/>
      <c r="J166" s="6"/>
    </row>
    <row r="167" spans="1:10" ht="17.25" customHeight="1">
      <c r="A167" s="47"/>
      <c r="B167" s="85"/>
      <c r="C167" s="88"/>
      <c r="D167" s="75"/>
      <c r="F167" s="2"/>
      <c r="G167" s="1"/>
      <c r="H167" s="3"/>
      <c r="I167" s="3"/>
      <c r="J167" s="6"/>
    </row>
    <row r="168" spans="1:10" ht="17.25" customHeight="1">
      <c r="A168" s="47"/>
      <c r="B168" s="85"/>
      <c r="C168" s="88"/>
      <c r="D168" s="75"/>
      <c r="F168" s="2"/>
      <c r="G168" s="1"/>
      <c r="H168" s="3"/>
      <c r="I168" s="3"/>
      <c r="J168" s="6"/>
    </row>
    <row r="169" spans="1:10" ht="18" customHeight="1">
      <c r="A169" s="47"/>
      <c r="B169" s="85"/>
      <c r="C169" s="88"/>
      <c r="D169" s="75"/>
      <c r="F169" s="2"/>
      <c r="G169" s="1"/>
      <c r="H169" s="3"/>
      <c r="I169" s="3"/>
      <c r="J169" s="6"/>
    </row>
    <row r="170" spans="1:10" ht="18" customHeight="1">
      <c r="A170" s="47"/>
      <c r="B170" s="85"/>
      <c r="C170" s="88"/>
      <c r="D170" s="75"/>
      <c r="F170" s="2"/>
      <c r="G170" s="1"/>
      <c r="H170" s="3"/>
      <c r="I170" s="3"/>
      <c r="J170" s="6"/>
    </row>
    <row r="171" spans="1:10" ht="18" customHeight="1">
      <c r="A171" s="47"/>
      <c r="B171" s="85"/>
      <c r="C171" s="88"/>
      <c r="D171" s="75"/>
      <c r="G171" s="1"/>
      <c r="H171" s="3"/>
      <c r="I171" s="3"/>
      <c r="J171" s="6"/>
    </row>
    <row r="172" spans="1:10" ht="22.5" customHeight="1">
      <c r="A172" s="47"/>
      <c r="B172" s="85"/>
      <c r="C172" s="88"/>
      <c r="D172" s="75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G174" s="1"/>
      <c r="H174" s="3"/>
      <c r="I174" s="3"/>
      <c r="J174" s="6"/>
    </row>
    <row r="175" spans="1:10" ht="18" customHeight="1">
      <c r="A175" s="47"/>
      <c r="B175" s="85"/>
      <c r="C175" s="88"/>
      <c r="D175" s="75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5" customHeight="1">
      <c r="A183" s="47"/>
      <c r="B183" s="85"/>
      <c r="C183" s="88"/>
      <c r="D183" s="75"/>
      <c r="G183" s="1"/>
      <c r="H183" s="3"/>
      <c r="I183" s="3"/>
      <c r="J183" s="6"/>
    </row>
    <row r="184" spans="1:10" ht="15" customHeight="1">
      <c r="A184" s="47"/>
      <c r="B184" s="85"/>
      <c r="C184" s="88"/>
      <c r="D184" s="75"/>
      <c r="G184" s="1"/>
      <c r="H184" s="3"/>
      <c r="I184" s="3"/>
      <c r="J184" s="6"/>
    </row>
    <row r="185" spans="1:10" ht="15" customHeight="1">
      <c r="A185" s="47"/>
      <c r="B185" s="85"/>
      <c r="C185" s="88"/>
      <c r="D185" s="75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F187" s="2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F188" s="2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F189" s="2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F190" s="2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F191" s="2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8.7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F203" s="2"/>
      <c r="G203" s="1"/>
      <c r="H203" s="3"/>
      <c r="I203" s="3"/>
    </row>
    <row r="204" spans="1:10" ht="15" customHeight="1">
      <c r="A204" s="47"/>
      <c r="B204" s="85"/>
      <c r="C204" s="88"/>
      <c r="D204" s="75"/>
      <c r="F204" s="2"/>
      <c r="G204" s="1"/>
      <c r="H204" s="3"/>
      <c r="I204" s="3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</row>
    <row r="207" spans="1:10" ht="15" customHeight="1">
      <c r="A207" s="47"/>
      <c r="B207" s="85"/>
      <c r="C207" s="88"/>
      <c r="D207" s="75"/>
    </row>
    <row r="208" spans="1:10" ht="15" customHeight="1">
      <c r="A208" s="47"/>
      <c r="B208" s="85"/>
      <c r="C208" s="88"/>
      <c r="D208" s="75"/>
    </row>
    <row r="209" spans="1:4" ht="15" customHeight="1">
      <c r="A209" s="47"/>
      <c r="B209" s="85"/>
      <c r="C209" s="88"/>
      <c r="D209" s="75"/>
    </row>
    <row r="210" spans="1:4" ht="15" customHeight="1">
      <c r="A210" s="47"/>
      <c r="B210" s="85"/>
      <c r="C210" s="88"/>
      <c r="D210" s="75"/>
    </row>
    <row r="211" spans="1:4" ht="15" customHeight="1">
      <c r="A211" s="47"/>
      <c r="B211" s="85"/>
      <c r="C211" s="88"/>
      <c r="D211" s="75"/>
    </row>
    <row r="212" spans="1:4" ht="18" customHeight="1" thickBot="1">
      <c r="A212" s="48"/>
      <c r="B212" s="86"/>
      <c r="C212" s="89"/>
      <c r="D212" s="77"/>
    </row>
    <row r="213" spans="1:4" ht="18" customHeight="1"/>
    <row r="214" spans="1:4" ht="18" customHeight="1"/>
    <row r="215" spans="1:4" ht="18" customHeight="1"/>
    <row r="216" spans="1:4" ht="18" customHeight="1"/>
    <row r="217" spans="1:4" ht="18" customHeight="1"/>
    <row r="218" spans="1:4" ht="18" customHeight="1"/>
  </sheetData>
  <mergeCells count="4">
    <mergeCell ref="A1:J1"/>
    <mergeCell ref="B15:C15"/>
    <mergeCell ref="A5:C5"/>
    <mergeCell ref="C3:D3"/>
  </mergeCells>
  <conditionalFormatting sqref="J23:J65536 E6:E11 J1 J5:J14">
    <cfRule type="cellIs" dxfId="17" priority="3" stopIfTrue="1" operator="lessThan">
      <formula>0</formula>
    </cfRule>
  </conditionalFormatting>
  <conditionalFormatting sqref="J2:J4">
    <cfRule type="cellIs" dxfId="16" priority="2" stopIfTrue="1" operator="lessThan">
      <formula>0</formula>
    </cfRule>
  </conditionalFormatting>
  <conditionalFormatting sqref="E5">
    <cfRule type="cellIs" dxfId="15" priority="1" stopIfTrue="1" operator="lessThan">
      <formula>0</formula>
    </cfRule>
  </conditionalFormatting>
  <dataValidations count="2">
    <dataValidation type="list" allowBlank="1" showInputMessage="1" showErrorMessage="1" sqref="B6:B11" xr:uid="{3B8D611B-C754-407D-8618-7974418EA1DE}">
      <formula1>INDIRECT($A6)</formula1>
    </dataValidation>
    <dataValidation type="list" allowBlank="1" showInputMessage="1" showErrorMessage="1" sqref="C16:C212" xr:uid="{DB46C055-A71F-41B9-A86A-34536A7D539F}">
      <formula1>INDIRECT($B16)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5487-15D1-4FCF-BAA3-84ED139E0B0A}">
  <sheetPr>
    <tabColor rgb="FF00B0F0"/>
  </sheetPr>
  <dimension ref="A1:L220"/>
  <sheetViews>
    <sheetView zoomScaleNormal="100" workbookViewId="0">
      <selection activeCell="L19" sqref="K18:L19"/>
    </sheetView>
  </sheetViews>
  <sheetFormatPr defaultRowHeight="23.25"/>
  <cols>
    <col min="1" max="1" width="15.28515625" style="14" customWidth="1"/>
    <col min="2" max="2" width="15.140625" style="14" customWidth="1"/>
    <col min="3" max="3" width="18.7109375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77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92</v>
      </c>
      <c r="C3" s="107" t="s">
        <v>91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4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4" customHeight="1">
      <c r="A6" s="34" t="s">
        <v>2</v>
      </c>
      <c r="B6" s="35" t="s">
        <v>34</v>
      </c>
      <c r="C6" s="36">
        <v>1000</v>
      </c>
      <c r="D6" s="68">
        <f>SUMIF(C18:C214,"15-3-3",D18:D214)</f>
        <v>0</v>
      </c>
      <c r="E6" s="38">
        <f t="shared" ref="E6:E12" si="0">+C6-D6</f>
        <v>1000</v>
      </c>
      <c r="F6" s="19"/>
      <c r="G6" s="19"/>
      <c r="H6" s="19"/>
      <c r="I6" s="19"/>
      <c r="J6" s="19"/>
    </row>
    <row r="7" spans="1:10" ht="24" customHeight="1">
      <c r="A7" s="26" t="s">
        <v>2</v>
      </c>
      <c r="B7" s="20" t="s">
        <v>38</v>
      </c>
      <c r="C7" s="4">
        <v>1000</v>
      </c>
      <c r="D7" s="69">
        <f>SUMIF(C18:C214,"15-7-18",D18:D214)</f>
        <v>0</v>
      </c>
      <c r="E7" s="27">
        <f t="shared" si="0"/>
        <v>1000</v>
      </c>
      <c r="F7" s="19"/>
      <c r="G7" s="19"/>
      <c r="H7" s="19"/>
      <c r="I7" s="19"/>
      <c r="J7" s="19"/>
    </row>
    <row r="8" spans="1:10" ht="24" customHeight="1">
      <c r="A8" s="26" t="s">
        <v>2</v>
      </c>
      <c r="B8" s="20" t="s">
        <v>58</v>
      </c>
      <c r="C8" s="4">
        <v>1000</v>
      </c>
      <c r="D8" s="69">
        <f>SUMIF(C18:C214,"20-5-50",D18:D214)</f>
        <v>0</v>
      </c>
      <c r="E8" s="27">
        <f t="shared" si="0"/>
        <v>1000</v>
      </c>
      <c r="F8" s="19"/>
      <c r="G8" s="19"/>
      <c r="H8" s="19"/>
      <c r="I8" s="19"/>
      <c r="J8" s="19"/>
    </row>
    <row r="9" spans="1:10" ht="24" customHeight="1">
      <c r="A9" s="26" t="s">
        <v>2</v>
      </c>
      <c r="B9" s="20" t="s">
        <v>68</v>
      </c>
      <c r="C9" s="4">
        <v>2000</v>
      </c>
      <c r="D9" s="69">
        <f>SUMIF(C18:C214,"29-5-18",D18:D214)</f>
        <v>0</v>
      </c>
      <c r="E9" s="27">
        <f t="shared" si="0"/>
        <v>2000</v>
      </c>
      <c r="F9" s="19"/>
      <c r="G9" s="19"/>
      <c r="H9" s="19"/>
      <c r="I9" s="19"/>
      <c r="J9" s="19"/>
    </row>
    <row r="10" spans="1:10" ht="24" customHeight="1">
      <c r="A10" s="26" t="s">
        <v>2</v>
      </c>
      <c r="B10" s="20" t="s">
        <v>10</v>
      </c>
      <c r="C10" s="4">
        <v>7000</v>
      </c>
      <c r="D10" s="69">
        <f>SUMIF($C$18:C215,"เสื้อยืดแขนยาว",$D$18:D215)</f>
        <v>1379</v>
      </c>
      <c r="E10" s="27">
        <f t="shared" si="0"/>
        <v>5621</v>
      </c>
      <c r="F10" s="19"/>
      <c r="G10" s="19"/>
      <c r="H10" s="19"/>
      <c r="I10" s="19"/>
      <c r="J10" s="19"/>
    </row>
    <row r="11" spans="1:10" ht="24" customHeight="1">
      <c r="A11" s="26" t="s">
        <v>2</v>
      </c>
      <c r="B11" s="26" t="s">
        <v>106</v>
      </c>
      <c r="C11" s="4">
        <v>0</v>
      </c>
      <c r="D11" s="69">
        <f>SUMIF($C$18:C216,"กระเป๋าใบใหญ่",$D$18:D216)</f>
        <v>100</v>
      </c>
      <c r="E11" s="27">
        <f t="shared" si="0"/>
        <v>-100</v>
      </c>
      <c r="F11" s="19"/>
      <c r="G11" s="19"/>
      <c r="H11" s="19"/>
      <c r="I11" s="19"/>
      <c r="J11" s="19"/>
    </row>
    <row r="12" spans="1:10" ht="24" customHeight="1">
      <c r="A12" s="26" t="s">
        <v>2</v>
      </c>
      <c r="B12" s="90" t="s">
        <v>107</v>
      </c>
      <c r="C12" s="4">
        <v>0</v>
      </c>
      <c r="D12" s="69">
        <f>SUMIF($C$18:C217,"โบว์ชัวส์ ยางพารา",$D$18:D217)</f>
        <v>1500</v>
      </c>
      <c r="E12" s="27">
        <f t="shared" si="0"/>
        <v>-1500</v>
      </c>
      <c r="F12" s="19"/>
      <c r="G12" s="19"/>
      <c r="H12" s="19"/>
      <c r="I12" s="19"/>
      <c r="J12" s="19"/>
    </row>
    <row r="13" spans="1:10" ht="24" customHeight="1" thickBot="1">
      <c r="A13" s="29"/>
      <c r="B13" s="30"/>
      <c r="C13" s="31"/>
      <c r="D13" s="70"/>
      <c r="E13" s="33"/>
      <c r="F13" s="19"/>
      <c r="G13" s="19"/>
      <c r="H13" s="19"/>
      <c r="I13" s="19"/>
      <c r="J13" s="19"/>
    </row>
    <row r="14" spans="1:10" s="83" customFormat="1" ht="24" customHeight="1" thickBot="1">
      <c r="A14" s="82"/>
      <c r="B14" s="5"/>
      <c r="C14" s="80">
        <f>SUM(C6:C13)</f>
        <v>12000</v>
      </c>
      <c r="D14" s="81">
        <f>SUM(D6:D13)</f>
        <v>2979</v>
      </c>
      <c r="E14" s="80">
        <f>SUM(E6:E13)</f>
        <v>9021</v>
      </c>
      <c r="F14" s="19"/>
      <c r="G14" s="19"/>
      <c r="H14" s="19"/>
      <c r="I14" s="19"/>
      <c r="J14" s="19"/>
    </row>
    <row r="15" spans="1:10" ht="18.75" customHeight="1" thickTop="1">
      <c r="A15" s="19"/>
      <c r="B15" s="19"/>
      <c r="C15" s="19"/>
      <c r="D15" s="66"/>
      <c r="E15" s="19"/>
      <c r="F15" s="19"/>
      <c r="G15" s="19"/>
      <c r="H15" s="19"/>
      <c r="I15" s="19"/>
      <c r="J15" s="19"/>
    </row>
    <row r="16" spans="1:10" ht="18.75" customHeight="1" thickBot="1">
      <c r="A16" s="19"/>
      <c r="B16" s="19"/>
      <c r="C16" s="19"/>
      <c r="D16" s="66"/>
      <c r="E16" s="19"/>
      <c r="F16" s="19"/>
      <c r="G16" s="19"/>
      <c r="H16" s="19"/>
      <c r="I16" s="19"/>
      <c r="J16" s="19"/>
    </row>
    <row r="17" spans="1:12" ht="18" customHeight="1" thickBot="1">
      <c r="A17" s="56" t="s">
        <v>73</v>
      </c>
      <c r="B17" s="105" t="s">
        <v>72</v>
      </c>
      <c r="C17" s="106"/>
      <c r="D17" s="65" t="s">
        <v>0</v>
      </c>
      <c r="E17" s="10"/>
      <c r="H17" s="14"/>
    </row>
    <row r="18" spans="1:12" ht="18" customHeight="1">
      <c r="A18" s="63">
        <v>25235</v>
      </c>
      <c r="B18" s="84" t="s">
        <v>2</v>
      </c>
      <c r="C18" s="87" t="s">
        <v>10</v>
      </c>
      <c r="D18" s="73">
        <v>183</v>
      </c>
      <c r="E18" s="2"/>
      <c r="H18" s="14"/>
    </row>
    <row r="19" spans="1:12" ht="18" customHeight="1">
      <c r="A19" s="63">
        <v>244409</v>
      </c>
      <c r="B19" s="85" t="s">
        <v>2</v>
      </c>
      <c r="C19" s="88" t="s">
        <v>106</v>
      </c>
      <c r="D19" s="73">
        <v>100</v>
      </c>
      <c r="E19" s="2"/>
      <c r="H19" s="14"/>
    </row>
    <row r="20" spans="1:12" ht="18" customHeight="1">
      <c r="A20" s="63"/>
      <c r="B20" s="85" t="s">
        <v>2</v>
      </c>
      <c r="C20" s="88" t="s">
        <v>10</v>
      </c>
      <c r="D20" s="73">
        <f>565+157</f>
        <v>722</v>
      </c>
      <c r="E20" s="2"/>
      <c r="H20" s="14"/>
    </row>
    <row r="21" spans="1:12" ht="18" customHeight="1">
      <c r="A21" s="63"/>
      <c r="B21" s="85" t="s">
        <v>2</v>
      </c>
      <c r="C21" s="88" t="s">
        <v>105</v>
      </c>
      <c r="D21" s="73">
        <v>20</v>
      </c>
      <c r="E21" s="2"/>
      <c r="H21" s="14"/>
    </row>
    <row r="22" spans="1:12" ht="18" customHeight="1">
      <c r="A22" s="63"/>
      <c r="B22" s="85" t="s">
        <v>2</v>
      </c>
      <c r="C22" s="88" t="s">
        <v>107</v>
      </c>
      <c r="D22" s="73">
        <v>1500</v>
      </c>
      <c r="E22" s="2"/>
      <c r="H22" s="14"/>
    </row>
    <row r="23" spans="1:12" ht="18" customHeight="1">
      <c r="A23" s="63">
        <v>25294</v>
      </c>
      <c r="B23" s="85" t="s">
        <v>2</v>
      </c>
      <c r="C23" s="88" t="s">
        <v>10</v>
      </c>
      <c r="D23" s="73">
        <v>474</v>
      </c>
      <c r="E23" s="2"/>
      <c r="H23" s="14"/>
    </row>
    <row r="24" spans="1:12" ht="18" customHeight="1">
      <c r="A24" s="63"/>
      <c r="B24" s="85"/>
      <c r="C24" s="88"/>
      <c r="D24" s="73"/>
      <c r="E24" s="2"/>
      <c r="H24" s="14"/>
    </row>
    <row r="25" spans="1:12" ht="18" customHeight="1">
      <c r="A25" s="41"/>
      <c r="B25" s="85"/>
      <c r="C25" s="88"/>
      <c r="D25" s="74"/>
      <c r="E25" s="2"/>
      <c r="H25" s="14"/>
    </row>
    <row r="26" spans="1:12" ht="18" customHeight="1">
      <c r="A26" s="41"/>
      <c r="B26" s="85"/>
      <c r="C26" s="88"/>
      <c r="D26" s="74"/>
      <c r="E26" s="2"/>
      <c r="F26" s="2"/>
      <c r="G26" s="1"/>
      <c r="H26" s="3"/>
      <c r="I26" s="3"/>
      <c r="J26" s="6"/>
    </row>
    <row r="27" spans="1:12" ht="18" customHeight="1">
      <c r="A27" s="41"/>
      <c r="B27" s="85"/>
      <c r="C27" s="88"/>
      <c r="D27" s="74"/>
      <c r="E27" s="2"/>
      <c r="F27" s="2"/>
      <c r="G27" s="3"/>
      <c r="H27" s="3"/>
      <c r="I27" s="3"/>
      <c r="J27" s="6"/>
      <c r="K27" s="6"/>
    </row>
    <row r="28" spans="1:12" ht="18" customHeight="1">
      <c r="A28" s="41"/>
      <c r="B28" s="85"/>
      <c r="C28" s="88"/>
      <c r="D28" s="74"/>
      <c r="E28" s="2"/>
      <c r="F28" s="2"/>
      <c r="G28" s="3"/>
      <c r="H28" s="3"/>
      <c r="I28" s="3"/>
      <c r="J28" s="6"/>
      <c r="K28" s="6"/>
      <c r="L28" s="3"/>
    </row>
    <row r="29" spans="1:12" ht="18" customHeight="1">
      <c r="A29" s="41"/>
      <c r="B29" s="85"/>
      <c r="C29" s="88"/>
      <c r="D29" s="74"/>
      <c r="E29" s="2"/>
      <c r="F29" s="2"/>
      <c r="G29" s="3"/>
      <c r="H29" s="3"/>
      <c r="I29" s="3"/>
      <c r="J29" s="6"/>
    </row>
    <row r="30" spans="1:12" ht="17.25" customHeight="1">
      <c r="A30" s="41"/>
      <c r="B30" s="85"/>
      <c r="C30" s="88"/>
      <c r="D30" s="74"/>
      <c r="E30" s="11"/>
      <c r="F30" s="2"/>
      <c r="G30" s="1"/>
      <c r="H30" s="3"/>
      <c r="I30" s="3"/>
      <c r="J30" s="6"/>
    </row>
    <row r="31" spans="1:12" ht="17.25" customHeight="1">
      <c r="A31" s="42"/>
      <c r="B31" s="85"/>
      <c r="C31" s="88"/>
      <c r="D31" s="74"/>
      <c r="E31" s="11"/>
      <c r="F31" s="2"/>
      <c r="G31" s="1"/>
      <c r="H31" s="3"/>
      <c r="I31" s="3"/>
      <c r="J31" s="6"/>
    </row>
    <row r="32" spans="1:12" ht="17.25" customHeight="1">
      <c r="A32" s="42"/>
      <c r="B32" s="85"/>
      <c r="C32" s="88"/>
      <c r="D32" s="75"/>
      <c r="E32" s="2"/>
      <c r="F32" s="2"/>
      <c r="G32" s="1"/>
      <c r="H32" s="3"/>
      <c r="I32" s="3"/>
      <c r="J32" s="6"/>
    </row>
    <row r="33" spans="1:10" ht="17.25" customHeight="1">
      <c r="A33" s="43"/>
      <c r="B33" s="85"/>
      <c r="C33" s="88"/>
      <c r="D33" s="76"/>
      <c r="E33" s="2"/>
      <c r="F33" s="2"/>
      <c r="G33" s="1"/>
      <c r="H33" s="3"/>
      <c r="I33" s="3"/>
      <c r="J33" s="6"/>
    </row>
    <row r="34" spans="1:10" ht="17.25" customHeight="1">
      <c r="A34" s="44" t="s">
        <v>3</v>
      </c>
      <c r="B34" s="85"/>
      <c r="C34" s="88"/>
      <c r="D34" s="76"/>
      <c r="E34" s="2"/>
      <c r="F34" s="2"/>
      <c r="G34" s="1"/>
      <c r="H34" s="3"/>
      <c r="I34" s="3"/>
      <c r="J34" s="6"/>
    </row>
    <row r="35" spans="1:10" ht="17.25" customHeight="1">
      <c r="A35" s="45"/>
      <c r="B35" s="85"/>
      <c r="C35" s="88"/>
      <c r="D35" s="76"/>
      <c r="E35" s="2"/>
      <c r="F35" s="6"/>
      <c r="G35" s="1"/>
      <c r="H35" s="3"/>
      <c r="I35" s="3"/>
      <c r="J35" s="6"/>
    </row>
    <row r="36" spans="1:10" ht="17.25" customHeight="1">
      <c r="A36" s="46"/>
      <c r="B36" s="85"/>
      <c r="C36" s="88"/>
      <c r="D36" s="75"/>
      <c r="E36" s="2"/>
      <c r="F36" s="2"/>
      <c r="G36" s="1"/>
      <c r="H36" s="3"/>
      <c r="I36" s="3"/>
      <c r="J36" s="6"/>
    </row>
    <row r="37" spans="1:10" ht="17.25" customHeight="1">
      <c r="A37" s="46"/>
      <c r="B37" s="85"/>
      <c r="C37" s="88"/>
      <c r="D37" s="75"/>
      <c r="E37" s="2"/>
      <c r="F37" s="2"/>
      <c r="G37" s="6"/>
      <c r="H37" s="6"/>
      <c r="I37" s="6"/>
      <c r="J37" s="6"/>
    </row>
    <row r="38" spans="1:10" ht="17.25" customHeight="1">
      <c r="A38" s="46"/>
      <c r="B38" s="85"/>
      <c r="C38" s="88"/>
      <c r="D38" s="75"/>
      <c r="E38" s="2"/>
      <c r="F38" s="2"/>
      <c r="G38" s="1"/>
      <c r="H38" s="3"/>
      <c r="I38" s="3"/>
      <c r="J38" s="6"/>
    </row>
    <row r="39" spans="1:10" ht="17.25" customHeight="1">
      <c r="A39" s="42"/>
      <c r="B39" s="85"/>
      <c r="C39" s="88"/>
      <c r="D39" s="75"/>
      <c r="E39" s="2"/>
      <c r="F39" s="2"/>
      <c r="G39" s="1"/>
      <c r="H39" s="3"/>
      <c r="I39" s="3"/>
      <c r="J39" s="6"/>
    </row>
    <row r="40" spans="1:10" ht="17.25" customHeight="1">
      <c r="A40" s="47"/>
      <c r="B40" s="85"/>
      <c r="C40" s="88"/>
      <c r="D40" s="75"/>
      <c r="F40" s="2"/>
      <c r="G40" s="1"/>
      <c r="H40" s="3"/>
      <c r="I40" s="3"/>
      <c r="J40" s="6"/>
    </row>
    <row r="41" spans="1:10" ht="17.25" customHeight="1">
      <c r="A41" s="47"/>
      <c r="B41" s="85"/>
      <c r="C41" s="88"/>
      <c r="D41" s="75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F42" s="15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F43" s="15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2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2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2"/>
      <c r="G163" s="1"/>
      <c r="H163" s="3"/>
      <c r="I163" s="3"/>
      <c r="J163" s="6"/>
    </row>
    <row r="164" spans="1:10" ht="16.5" customHeight="1">
      <c r="A164" s="47"/>
      <c r="B164" s="85"/>
      <c r="C164" s="88"/>
      <c r="D164" s="75"/>
      <c r="G164" s="1"/>
      <c r="H164" s="3"/>
      <c r="I164" s="3"/>
      <c r="J164" s="6"/>
    </row>
    <row r="165" spans="1:10" ht="16.5" customHeight="1">
      <c r="A165" s="47"/>
      <c r="B165" s="85"/>
      <c r="C165" s="88"/>
      <c r="D165" s="75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F166" s="2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F167" s="2"/>
      <c r="G167" s="1"/>
      <c r="H167" s="3"/>
      <c r="I167" s="3"/>
    </row>
    <row r="168" spans="1:10" ht="16.5" customHeight="1">
      <c r="A168" s="47"/>
      <c r="B168" s="85"/>
      <c r="C168" s="88"/>
      <c r="D168" s="75"/>
      <c r="F168" s="2"/>
      <c r="G168" s="1"/>
      <c r="H168" s="3"/>
      <c r="I168" s="3"/>
      <c r="J168" s="6"/>
    </row>
    <row r="169" spans="1:10" ht="17.25" customHeight="1">
      <c r="A169" s="47"/>
      <c r="B169" s="85"/>
      <c r="C169" s="88"/>
      <c r="D169" s="75"/>
      <c r="F169" s="2"/>
      <c r="G169" s="1"/>
      <c r="H169" s="3"/>
      <c r="I169" s="3"/>
      <c r="J169" s="6"/>
    </row>
    <row r="170" spans="1:10" ht="17.25" customHeight="1">
      <c r="A170" s="47"/>
      <c r="B170" s="85"/>
      <c r="C170" s="88"/>
      <c r="D170" s="75"/>
      <c r="F170" s="2"/>
      <c r="G170" s="1"/>
      <c r="H170" s="3"/>
      <c r="I170" s="3"/>
      <c r="J170" s="6"/>
    </row>
    <row r="171" spans="1:10" ht="18" customHeight="1">
      <c r="A171" s="47"/>
      <c r="B171" s="85"/>
      <c r="C171" s="88"/>
      <c r="D171" s="75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75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F173" s="2"/>
      <c r="G173" s="1"/>
      <c r="H173" s="3"/>
      <c r="I173" s="3"/>
      <c r="J173" s="6"/>
    </row>
    <row r="174" spans="1:10" ht="22.5" customHeight="1">
      <c r="A174" s="47"/>
      <c r="B174" s="85"/>
      <c r="C174" s="88"/>
      <c r="D174" s="75"/>
      <c r="G174" s="1"/>
      <c r="H174" s="3"/>
      <c r="I174" s="3"/>
      <c r="J174" s="6"/>
    </row>
    <row r="175" spans="1:10" ht="18" customHeight="1">
      <c r="A175" s="47"/>
      <c r="B175" s="85"/>
      <c r="C175" s="88"/>
      <c r="D175" s="75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G184" s="1"/>
      <c r="H184" s="3"/>
      <c r="I184" s="3"/>
      <c r="J184" s="6"/>
    </row>
    <row r="185" spans="1:10" ht="15" customHeight="1">
      <c r="A185" s="47"/>
      <c r="B185" s="85"/>
      <c r="C185" s="88"/>
      <c r="D185" s="75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F190" s="2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F191" s="2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F201" s="2"/>
      <c r="G201" s="1"/>
      <c r="H201" s="3"/>
      <c r="I201" s="3"/>
      <c r="J201" s="6"/>
    </row>
    <row r="202" spans="1:10" ht="18.75" customHeight="1">
      <c r="A202" s="47"/>
      <c r="B202" s="85"/>
      <c r="C202" s="88"/>
      <c r="D202" s="75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</row>
    <row r="207" spans="1:10" ht="15" customHeight="1">
      <c r="A207" s="47"/>
      <c r="B207" s="85"/>
      <c r="C207" s="88"/>
      <c r="D207" s="75"/>
      <c r="F207" s="2"/>
      <c r="G207" s="1"/>
      <c r="H207" s="3"/>
      <c r="I207" s="3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</row>
    <row r="209" spans="1:9" ht="15" customHeight="1">
      <c r="A209" s="47"/>
      <c r="B209" s="85"/>
      <c r="C209" s="88"/>
      <c r="D209" s="75"/>
      <c r="F209" s="2"/>
      <c r="G209" s="1"/>
      <c r="H209" s="3"/>
      <c r="I209" s="3"/>
    </row>
    <row r="210" spans="1:9" ht="15" customHeight="1">
      <c r="A210" s="47"/>
      <c r="B210" s="85"/>
      <c r="C210" s="88"/>
      <c r="D210" s="75"/>
    </row>
    <row r="211" spans="1:9" ht="15" customHeight="1">
      <c r="A211" s="47"/>
      <c r="B211" s="85"/>
      <c r="C211" s="88"/>
      <c r="D211" s="75"/>
    </row>
    <row r="212" spans="1:9" ht="15" customHeight="1">
      <c r="A212" s="47"/>
      <c r="B212" s="85"/>
      <c r="C212" s="88"/>
      <c r="D212" s="75"/>
    </row>
    <row r="213" spans="1:9" ht="15" customHeight="1">
      <c r="A213" s="47"/>
      <c r="B213" s="85"/>
      <c r="C213" s="88"/>
      <c r="D213" s="75"/>
    </row>
    <row r="214" spans="1:9" ht="18" customHeight="1" thickBot="1">
      <c r="A214" s="48"/>
      <c r="B214" s="86"/>
      <c r="C214" s="89"/>
      <c r="D214" s="77"/>
    </row>
    <row r="215" spans="1:9" ht="18" customHeight="1"/>
    <row r="216" spans="1:9" ht="18" customHeight="1"/>
    <row r="217" spans="1:9" ht="18" customHeight="1"/>
    <row r="218" spans="1:9" ht="18" customHeight="1"/>
    <row r="219" spans="1:9" ht="18" customHeight="1"/>
    <row r="220" spans="1:9" ht="18" customHeight="1"/>
  </sheetData>
  <mergeCells count="4">
    <mergeCell ref="A1:J1"/>
    <mergeCell ref="B17:C17"/>
    <mergeCell ref="A5:C5"/>
    <mergeCell ref="C3:D3"/>
  </mergeCells>
  <conditionalFormatting sqref="J26:J65536 J1 J5:J16 E6:E13">
    <cfRule type="cellIs" dxfId="14" priority="3" stopIfTrue="1" operator="lessThan">
      <formula>0</formula>
    </cfRule>
  </conditionalFormatting>
  <conditionalFormatting sqref="J2:J4">
    <cfRule type="cellIs" dxfId="13" priority="2" stopIfTrue="1" operator="lessThan">
      <formula>0</formula>
    </cfRule>
  </conditionalFormatting>
  <conditionalFormatting sqref="E5">
    <cfRule type="cellIs" dxfId="12" priority="1" stopIfTrue="1" operator="lessThan">
      <formula>0</formula>
    </cfRule>
  </conditionalFormatting>
  <dataValidations count="2">
    <dataValidation type="list" allowBlank="1" showInputMessage="1" showErrorMessage="1" sqref="B6:B10 B13" xr:uid="{BA5BAFCD-2723-477E-8C00-84772A486033}">
      <formula1>INDIRECT($A6)</formula1>
    </dataValidation>
    <dataValidation type="list" allowBlank="1" showInputMessage="1" showErrorMessage="1" sqref="C18:C214" xr:uid="{ADB8EB63-4AAB-4284-8027-901CE206C489}">
      <formula1>INDIRECT($B18)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9446-354B-45AD-A9AC-960093FD7051}">
  <sheetPr>
    <tabColor rgb="FF00B0F0"/>
  </sheetPr>
  <dimension ref="A1:L225"/>
  <sheetViews>
    <sheetView zoomScaleNormal="100" workbookViewId="0">
      <selection activeCell="I10" sqref="I10"/>
    </sheetView>
  </sheetViews>
  <sheetFormatPr defaultRowHeight="23.25"/>
  <cols>
    <col min="1" max="1" width="11.140625" style="14" customWidth="1"/>
    <col min="2" max="2" width="20.42578125" style="14" customWidth="1"/>
    <col min="3" max="3" width="22.42578125" style="21" customWidth="1"/>
    <col min="4" max="4" width="14.28515625" style="78" customWidth="1"/>
    <col min="5" max="5" width="11.28515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79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96</v>
      </c>
      <c r="C3" s="107" t="s">
        <v>95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2.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2.5" customHeight="1">
      <c r="A6" s="34" t="s">
        <v>2</v>
      </c>
      <c r="B6" s="35" t="s">
        <v>22</v>
      </c>
      <c r="C6" s="36">
        <v>3000</v>
      </c>
      <c r="D6" s="68">
        <f>SUMIF($C$23:C219,"13-3-21",$D$23:D219)</f>
        <v>0</v>
      </c>
      <c r="E6" s="38">
        <f>+C6-D6</f>
        <v>3000</v>
      </c>
      <c r="F6" s="19"/>
      <c r="G6" s="19"/>
      <c r="H6" s="19"/>
      <c r="I6" s="19"/>
      <c r="J6" s="19"/>
    </row>
    <row r="7" spans="1:10" ht="22.5" customHeight="1">
      <c r="A7" s="26" t="s">
        <v>2</v>
      </c>
      <c r="B7" s="20" t="s">
        <v>7</v>
      </c>
      <c r="C7" s="4">
        <v>2000</v>
      </c>
      <c r="D7" s="69">
        <f>SUMIF($C$23:C219,"16-8-8",$D$23:D219)</f>
        <v>1800</v>
      </c>
      <c r="E7" s="27">
        <f t="shared" ref="E7:E15" si="0">+C7-D7</f>
        <v>200</v>
      </c>
      <c r="F7" s="19"/>
      <c r="G7" s="19"/>
      <c r="H7" s="19"/>
      <c r="I7" s="19"/>
      <c r="J7" s="19"/>
    </row>
    <row r="8" spans="1:10" ht="22.5" customHeight="1">
      <c r="A8" s="26" t="s">
        <v>2</v>
      </c>
      <c r="B8" s="20" t="s">
        <v>55</v>
      </c>
      <c r="C8" s="4">
        <v>3000</v>
      </c>
      <c r="D8" s="69">
        <f>SUMIF($C$23:C220,"18-4-5",$D$23:D220)</f>
        <v>800</v>
      </c>
      <c r="E8" s="27">
        <f t="shared" si="0"/>
        <v>2200</v>
      </c>
      <c r="F8" s="19"/>
      <c r="G8" s="19"/>
      <c r="H8" s="19"/>
      <c r="I8" s="19"/>
      <c r="J8" s="19"/>
    </row>
    <row r="9" spans="1:10" ht="22.5" customHeight="1">
      <c r="A9" s="26" t="s">
        <v>2</v>
      </c>
      <c r="B9" s="20" t="s">
        <v>57</v>
      </c>
      <c r="C9" s="4">
        <v>3000</v>
      </c>
      <c r="D9" s="69">
        <f>SUMIF($C$23:C221,"19-6-6",$D$23:D221)</f>
        <v>0</v>
      </c>
      <c r="E9" s="27">
        <f t="shared" si="0"/>
        <v>3000</v>
      </c>
      <c r="F9" s="19"/>
      <c r="G9" s="19"/>
      <c r="H9" s="19"/>
      <c r="I9" s="19"/>
      <c r="J9" s="19"/>
    </row>
    <row r="10" spans="1:10" ht="22.5" customHeight="1">
      <c r="A10" s="26" t="s">
        <v>2</v>
      </c>
      <c r="B10" s="20" t="s">
        <v>58</v>
      </c>
      <c r="C10" s="4">
        <v>3000</v>
      </c>
      <c r="D10" s="69">
        <f>SUMIF($C$23:C220,"20-5-5",$D$23:D220)</f>
        <v>0</v>
      </c>
      <c r="E10" s="27">
        <f t="shared" si="0"/>
        <v>3000</v>
      </c>
      <c r="F10" s="19"/>
      <c r="G10" s="19"/>
      <c r="H10" s="19"/>
      <c r="I10" s="19"/>
      <c r="J10" s="19"/>
    </row>
    <row r="11" spans="1:10" ht="22.5" customHeight="1">
      <c r="A11" s="26" t="s">
        <v>2</v>
      </c>
      <c r="B11" s="20" t="s">
        <v>68</v>
      </c>
      <c r="C11" s="4">
        <v>1000</v>
      </c>
      <c r="D11" s="69">
        <f>SUMIF($C$23:C221,"29-5-18",$D$23:D221)</f>
        <v>400</v>
      </c>
      <c r="E11" s="27">
        <f t="shared" si="0"/>
        <v>600</v>
      </c>
      <c r="F11" s="19"/>
      <c r="G11" s="19"/>
      <c r="H11" s="19"/>
      <c r="I11" s="19"/>
      <c r="J11" s="19"/>
    </row>
    <row r="12" spans="1:10" ht="22.5" customHeight="1">
      <c r="A12" s="26" t="s">
        <v>2</v>
      </c>
      <c r="B12" s="20" t="s">
        <v>10</v>
      </c>
      <c r="C12" s="4">
        <v>12500</v>
      </c>
      <c r="D12" s="69">
        <f>SUMIF($C$23:C222,"เสื้อยืดแขนยาว",$D$23:D222)</f>
        <v>3412.5</v>
      </c>
      <c r="E12" s="27">
        <f t="shared" si="0"/>
        <v>9087.5</v>
      </c>
      <c r="F12" s="19"/>
      <c r="G12" s="19"/>
      <c r="H12" s="19"/>
      <c r="I12" s="19"/>
      <c r="J12" s="19"/>
    </row>
    <row r="13" spans="1:10" ht="22.5" customHeight="1">
      <c r="A13" s="26" t="s">
        <v>2</v>
      </c>
      <c r="B13" s="20" t="s">
        <v>34</v>
      </c>
      <c r="C13" s="4"/>
      <c r="D13" s="69">
        <f>SUMIF($C$23:C223,"15-3-3",$D$23:D223)</f>
        <v>500</v>
      </c>
      <c r="E13" s="27">
        <f t="shared" si="0"/>
        <v>-500</v>
      </c>
      <c r="F13" s="19"/>
      <c r="G13" s="19"/>
      <c r="H13" s="19"/>
      <c r="I13" s="19"/>
      <c r="J13" s="19"/>
    </row>
    <row r="14" spans="1:10" ht="22.5" customHeight="1">
      <c r="A14" s="26" t="s">
        <v>2</v>
      </c>
      <c r="B14" s="20" t="s">
        <v>38</v>
      </c>
      <c r="C14" s="4"/>
      <c r="D14" s="69">
        <f>SUMIF($C$23:C224,"15-7-18",$D$23:D224)</f>
        <v>200</v>
      </c>
      <c r="E14" s="27">
        <f t="shared" si="0"/>
        <v>-200</v>
      </c>
      <c r="F14" s="19"/>
      <c r="G14" s="19"/>
      <c r="H14" s="19"/>
      <c r="I14" s="19"/>
      <c r="J14" s="19"/>
    </row>
    <row r="15" spans="1:10" ht="22.5" customHeight="1">
      <c r="A15" s="26" t="s">
        <v>2</v>
      </c>
      <c r="B15" s="20" t="s">
        <v>108</v>
      </c>
      <c r="C15" s="95"/>
      <c r="D15" s="69">
        <f>SUMIF($C$23:C225,"แบนเนอร์ตรารถเกษตร",$D$23:D225)</f>
        <v>3</v>
      </c>
      <c r="E15" s="27">
        <f t="shared" si="0"/>
        <v>-3</v>
      </c>
      <c r="F15" s="19"/>
      <c r="G15" s="19"/>
      <c r="H15" s="19"/>
      <c r="I15" s="19"/>
      <c r="J15" s="19"/>
    </row>
    <row r="16" spans="1:10" ht="22.5" customHeight="1">
      <c r="A16" s="26"/>
      <c r="B16" s="20"/>
      <c r="C16" s="4"/>
      <c r="D16" s="69"/>
      <c r="E16" s="27"/>
      <c r="F16" s="19"/>
      <c r="G16" s="19"/>
      <c r="H16" s="19"/>
      <c r="I16" s="19"/>
      <c r="J16" s="19"/>
    </row>
    <row r="17" spans="1:11" ht="22.5" customHeight="1">
      <c r="A17" s="26"/>
      <c r="B17" s="20"/>
      <c r="C17" s="4"/>
      <c r="D17" s="69"/>
      <c r="E17" s="28"/>
      <c r="F17" s="19"/>
      <c r="G17" s="19"/>
      <c r="H17" s="19"/>
      <c r="I17" s="19"/>
      <c r="J17" s="19"/>
    </row>
    <row r="18" spans="1:11" ht="22.5" customHeight="1" thickBot="1">
      <c r="A18" s="29"/>
      <c r="B18" s="30"/>
      <c r="C18" s="31"/>
      <c r="D18" s="70"/>
      <c r="E18" s="33"/>
      <c r="F18" s="19"/>
      <c r="G18" s="19"/>
      <c r="H18" s="19"/>
      <c r="I18" s="19"/>
      <c r="J18" s="19"/>
    </row>
    <row r="19" spans="1:11" ht="22.5" customHeight="1" thickBot="1">
      <c r="A19" s="2"/>
      <c r="B19" s="1"/>
      <c r="C19" s="18">
        <f>SUM(C6:C18)</f>
        <v>27500</v>
      </c>
      <c r="D19" s="71">
        <f>SUM(D6:D18)</f>
        <v>7115.5</v>
      </c>
      <c r="E19" s="18">
        <f>SUM(E6:E18)</f>
        <v>20384.5</v>
      </c>
      <c r="F19" s="19"/>
      <c r="G19" s="19"/>
      <c r="H19" s="19"/>
      <c r="I19" s="19"/>
      <c r="J19" s="19"/>
    </row>
    <row r="20" spans="1:11" ht="22.5" customHeight="1" thickTop="1">
      <c r="A20" s="2"/>
      <c r="B20" s="1"/>
      <c r="C20" s="3"/>
      <c r="D20" s="79"/>
      <c r="E20" s="3"/>
      <c r="F20" s="19"/>
      <c r="G20" s="19"/>
      <c r="H20" s="19"/>
      <c r="I20" s="19"/>
      <c r="J20" s="19"/>
    </row>
    <row r="21" spans="1:11" ht="22.5" customHeight="1" thickBot="1">
      <c r="A21" s="19"/>
      <c r="B21" s="19"/>
      <c r="C21" s="19"/>
      <c r="D21" s="66"/>
      <c r="E21" s="19"/>
      <c r="F21" s="19"/>
      <c r="G21" s="19"/>
      <c r="H21" s="19"/>
      <c r="I21" s="19"/>
      <c r="J21" s="19"/>
    </row>
    <row r="22" spans="1:11" ht="18" customHeight="1" thickBot="1">
      <c r="A22" s="56" t="s">
        <v>73</v>
      </c>
      <c r="B22" s="105" t="s">
        <v>72</v>
      </c>
      <c r="C22" s="106"/>
      <c r="D22" s="65" t="s">
        <v>0</v>
      </c>
      <c r="E22" s="10"/>
      <c r="H22" s="14"/>
    </row>
    <row r="23" spans="1:11" ht="18" customHeight="1">
      <c r="A23" s="63">
        <v>25235</v>
      </c>
      <c r="B23" s="84" t="s">
        <v>2</v>
      </c>
      <c r="C23" s="87" t="s">
        <v>10</v>
      </c>
      <c r="D23" s="73">
        <v>440</v>
      </c>
      <c r="E23" s="2"/>
      <c r="H23" s="14"/>
    </row>
    <row r="24" spans="1:11" ht="18" customHeight="1">
      <c r="A24" s="63">
        <v>25263</v>
      </c>
      <c r="B24" s="85" t="s">
        <v>2</v>
      </c>
      <c r="C24" s="88" t="s">
        <v>34</v>
      </c>
      <c r="D24" s="73">
        <v>300</v>
      </c>
      <c r="E24" s="2"/>
      <c r="H24" s="14"/>
    </row>
    <row r="25" spans="1:11" ht="18" customHeight="1">
      <c r="A25" s="63"/>
      <c r="B25" s="85" t="s">
        <v>2</v>
      </c>
      <c r="C25" s="88" t="s">
        <v>38</v>
      </c>
      <c r="D25" s="73">
        <v>100</v>
      </c>
      <c r="E25" s="2"/>
      <c r="H25" s="14"/>
    </row>
    <row r="26" spans="1:11" ht="18" customHeight="1">
      <c r="A26" s="41"/>
      <c r="B26" s="85" t="s">
        <v>2</v>
      </c>
      <c r="C26" s="88" t="s">
        <v>7</v>
      </c>
      <c r="D26" s="73">
        <v>900</v>
      </c>
      <c r="E26" s="2"/>
      <c r="H26" s="14"/>
    </row>
    <row r="27" spans="1:11" ht="18" customHeight="1">
      <c r="A27" s="41"/>
      <c r="B27" s="85" t="s">
        <v>2</v>
      </c>
      <c r="C27" s="88" t="s">
        <v>55</v>
      </c>
      <c r="D27" s="73">
        <v>500</v>
      </c>
      <c r="E27" s="2"/>
      <c r="H27" s="14"/>
    </row>
    <row r="28" spans="1:11" ht="18" customHeight="1">
      <c r="A28" s="41"/>
      <c r="B28" s="85" t="s">
        <v>2</v>
      </c>
      <c r="C28" s="88" t="s">
        <v>68</v>
      </c>
      <c r="D28" s="73">
        <v>200</v>
      </c>
      <c r="E28" s="2"/>
      <c r="H28" s="14"/>
    </row>
    <row r="29" spans="1:11" ht="18" customHeight="1">
      <c r="A29" s="41"/>
      <c r="B29" s="85" t="s">
        <v>2</v>
      </c>
      <c r="C29" s="88" t="s">
        <v>10</v>
      </c>
      <c r="D29" s="73">
        <v>1962.5</v>
      </c>
      <c r="E29" s="2"/>
      <c r="H29" s="14"/>
    </row>
    <row r="30" spans="1:11" ht="18" customHeight="1">
      <c r="A30" s="41"/>
      <c r="B30" s="85" t="s">
        <v>2</v>
      </c>
      <c r="C30" s="88" t="s">
        <v>108</v>
      </c>
      <c r="D30" s="74">
        <v>3</v>
      </c>
      <c r="E30" s="2"/>
      <c r="H30" s="14"/>
    </row>
    <row r="31" spans="1:11" ht="18" customHeight="1">
      <c r="A31" s="63">
        <v>25294</v>
      </c>
      <c r="B31" s="85" t="s">
        <v>2</v>
      </c>
      <c r="C31" s="88" t="s">
        <v>34</v>
      </c>
      <c r="D31" s="74">
        <v>200</v>
      </c>
      <c r="E31" s="2"/>
      <c r="H31" s="14"/>
    </row>
    <row r="32" spans="1:11" ht="18" customHeight="1">
      <c r="A32" s="41"/>
      <c r="B32" s="85" t="s">
        <v>2</v>
      </c>
      <c r="C32" s="88" t="s">
        <v>38</v>
      </c>
      <c r="D32" s="74">
        <v>100</v>
      </c>
      <c r="E32" s="2"/>
      <c r="H32" s="14"/>
      <c r="K32" s="6"/>
    </row>
    <row r="33" spans="1:12" ht="18" customHeight="1">
      <c r="A33" s="41"/>
      <c r="B33" s="85" t="s">
        <v>2</v>
      </c>
      <c r="C33" s="88" t="s">
        <v>7</v>
      </c>
      <c r="D33" s="74">
        <v>900</v>
      </c>
      <c r="E33" s="2"/>
      <c r="H33" s="14"/>
      <c r="K33" s="6"/>
      <c r="L33" s="3"/>
    </row>
    <row r="34" spans="1:12" ht="18" customHeight="1">
      <c r="A34" s="41"/>
      <c r="B34" s="85" t="s">
        <v>2</v>
      </c>
      <c r="C34" s="88" t="s">
        <v>55</v>
      </c>
      <c r="D34" s="74">
        <v>300</v>
      </c>
      <c r="E34" s="2"/>
      <c r="H34" s="14"/>
    </row>
    <row r="35" spans="1:12" ht="17.25" customHeight="1">
      <c r="A35" s="41"/>
      <c r="B35" s="85" t="s">
        <v>2</v>
      </c>
      <c r="C35" s="88" t="s">
        <v>68</v>
      </c>
      <c r="D35" s="74">
        <v>200</v>
      </c>
      <c r="E35" s="11"/>
      <c r="H35" s="14"/>
    </row>
    <row r="36" spans="1:12" ht="17.25" customHeight="1">
      <c r="A36" s="42"/>
      <c r="B36" s="85" t="s">
        <v>2</v>
      </c>
      <c r="C36" s="88" t="s">
        <v>10</v>
      </c>
      <c r="D36" s="74">
        <v>1010</v>
      </c>
      <c r="E36" s="11"/>
      <c r="H36" s="14"/>
    </row>
    <row r="37" spans="1:12" ht="17.25" customHeight="1">
      <c r="A37" s="42"/>
      <c r="B37" s="85"/>
      <c r="C37" s="88"/>
      <c r="D37" s="75"/>
      <c r="E37" s="2"/>
      <c r="H37" s="14"/>
    </row>
    <row r="38" spans="1:12" ht="17.25" customHeight="1">
      <c r="A38" s="43"/>
      <c r="B38" s="85"/>
      <c r="C38" s="88"/>
      <c r="D38" s="76"/>
      <c r="E38" s="2"/>
      <c r="H38" s="14"/>
    </row>
    <row r="39" spans="1:12" ht="17.25" customHeight="1">
      <c r="A39" s="44" t="s">
        <v>3</v>
      </c>
      <c r="B39" s="85"/>
      <c r="C39" s="88"/>
      <c r="D39" s="76"/>
      <c r="E39" s="2"/>
      <c r="H39" s="14"/>
    </row>
    <row r="40" spans="1:12" ht="17.25" customHeight="1">
      <c r="A40" s="45"/>
      <c r="B40" s="85"/>
      <c r="C40" s="88"/>
      <c r="D40" s="76"/>
      <c r="E40" s="2"/>
      <c r="H40" s="14"/>
    </row>
    <row r="41" spans="1:12" ht="17.25" customHeight="1">
      <c r="A41" s="46"/>
      <c r="B41" s="85"/>
      <c r="C41" s="88"/>
      <c r="D41" s="75"/>
      <c r="E41" s="2"/>
      <c r="F41" s="2"/>
      <c r="G41" s="1"/>
      <c r="H41" s="3"/>
      <c r="I41" s="3"/>
      <c r="J41" s="6"/>
    </row>
    <row r="42" spans="1:12" ht="17.25" customHeight="1">
      <c r="A42" s="46"/>
      <c r="B42" s="85"/>
      <c r="C42" s="88"/>
      <c r="D42" s="75"/>
      <c r="E42" s="2"/>
      <c r="F42" s="2"/>
      <c r="G42" s="3"/>
      <c r="H42" s="3"/>
      <c r="I42" s="3"/>
      <c r="J42" s="6"/>
    </row>
    <row r="43" spans="1:12" ht="17.25" customHeight="1">
      <c r="A43" s="46"/>
      <c r="B43" s="85"/>
      <c r="C43" s="88"/>
      <c r="D43" s="75"/>
      <c r="E43" s="2"/>
      <c r="F43" s="2"/>
      <c r="G43" s="3"/>
      <c r="H43" s="3"/>
      <c r="I43" s="3"/>
      <c r="J43" s="6"/>
    </row>
    <row r="44" spans="1:12" ht="17.25" customHeight="1">
      <c r="A44" s="42"/>
      <c r="B44" s="85"/>
      <c r="C44" s="88"/>
      <c r="D44" s="75"/>
      <c r="E44" s="2"/>
      <c r="F44" s="2"/>
      <c r="G44" s="3"/>
      <c r="H44" s="3"/>
      <c r="I44" s="3"/>
      <c r="J44" s="6"/>
    </row>
    <row r="45" spans="1:12" ht="17.25" customHeight="1">
      <c r="A45" s="47"/>
      <c r="B45" s="85"/>
      <c r="C45" s="88"/>
      <c r="D45" s="75"/>
      <c r="F45" s="2"/>
      <c r="G45" s="1"/>
      <c r="H45" s="3"/>
      <c r="I45" s="3"/>
      <c r="J45" s="6"/>
    </row>
    <row r="46" spans="1:12" ht="17.25" customHeight="1">
      <c r="A46" s="47"/>
      <c r="B46" s="85"/>
      <c r="C46" s="88"/>
      <c r="D46" s="75"/>
      <c r="F46" s="2"/>
      <c r="G46" s="1"/>
      <c r="H46" s="3"/>
      <c r="I46" s="3"/>
      <c r="J46" s="6"/>
    </row>
    <row r="47" spans="1:12" ht="17.25" customHeight="1">
      <c r="A47" s="47"/>
      <c r="B47" s="85"/>
      <c r="C47" s="88"/>
      <c r="D47" s="75"/>
      <c r="F47" s="2"/>
      <c r="G47" s="1"/>
      <c r="H47" s="3"/>
      <c r="I47" s="3"/>
      <c r="J47" s="6"/>
    </row>
    <row r="48" spans="1:12" ht="17.25" customHeight="1">
      <c r="A48" s="47"/>
      <c r="B48" s="85"/>
      <c r="C48" s="88"/>
      <c r="D48" s="75"/>
      <c r="F48" s="2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F49" s="2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F50" s="6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F51" s="2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F52" s="2"/>
      <c r="G52" s="6"/>
      <c r="H52" s="6"/>
      <c r="I52" s="6"/>
      <c r="J52" s="6"/>
    </row>
    <row r="53" spans="1:10" ht="17.25" customHeight="1">
      <c r="A53" s="47"/>
      <c r="B53" s="85"/>
      <c r="C53" s="88"/>
      <c r="D53" s="75"/>
      <c r="F53" s="2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F54" s="2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F55" s="2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F56" s="2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F163" s="15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F164" s="15"/>
      <c r="G164" s="1"/>
      <c r="H164" s="3"/>
      <c r="I164" s="3"/>
      <c r="J164" s="6"/>
    </row>
    <row r="165" spans="1:10" ht="17.25" customHeight="1">
      <c r="A165" s="47"/>
      <c r="B165" s="85"/>
      <c r="C165" s="88"/>
      <c r="D165" s="75"/>
      <c r="F165" s="15"/>
      <c r="G165" s="1"/>
      <c r="H165" s="3"/>
      <c r="I165" s="3"/>
      <c r="J165" s="6"/>
    </row>
    <row r="166" spans="1:10" ht="17.25" customHeight="1">
      <c r="A166" s="47"/>
      <c r="B166" s="85"/>
      <c r="C166" s="88"/>
      <c r="D166" s="75"/>
      <c r="F166" s="15"/>
      <c r="G166" s="1"/>
      <c r="H166" s="3"/>
      <c r="I166" s="3"/>
      <c r="J166" s="6"/>
    </row>
    <row r="167" spans="1:10" ht="17.25" customHeight="1">
      <c r="A167" s="47"/>
      <c r="B167" s="85"/>
      <c r="C167" s="88"/>
      <c r="D167" s="75"/>
      <c r="F167" s="15"/>
      <c r="G167" s="1"/>
      <c r="H167" s="3"/>
      <c r="I167" s="3"/>
      <c r="J167" s="6"/>
    </row>
    <row r="168" spans="1:10" ht="17.25" customHeight="1">
      <c r="A168" s="47"/>
      <c r="B168" s="85"/>
      <c r="C168" s="88"/>
      <c r="D168" s="75"/>
      <c r="F168" s="15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F169" s="15"/>
      <c r="G169" s="1"/>
      <c r="H169" s="3"/>
      <c r="I169" s="3"/>
      <c r="J169" s="6"/>
    </row>
    <row r="170" spans="1:10" ht="16.5" customHeight="1">
      <c r="A170" s="47"/>
      <c r="B170" s="85"/>
      <c r="C170" s="88"/>
      <c r="D170" s="75"/>
      <c r="F170" s="15"/>
      <c r="G170" s="1"/>
      <c r="H170" s="3"/>
      <c r="I170" s="3"/>
      <c r="J170" s="6"/>
    </row>
    <row r="171" spans="1:10" ht="16.5" customHeight="1">
      <c r="A171" s="47"/>
      <c r="B171" s="85"/>
      <c r="C171" s="88"/>
      <c r="D171" s="75"/>
      <c r="F171" s="15"/>
      <c r="G171" s="1"/>
      <c r="H171" s="3"/>
      <c r="I171" s="3"/>
      <c r="J171" s="6"/>
    </row>
    <row r="172" spans="1:10" ht="16.5" customHeight="1">
      <c r="A172" s="47"/>
      <c r="B172" s="85"/>
      <c r="C172" s="88"/>
      <c r="D172" s="75"/>
      <c r="F172" s="15"/>
      <c r="G172" s="1"/>
      <c r="H172" s="3"/>
      <c r="I172" s="3"/>
      <c r="J172" s="6"/>
    </row>
    <row r="173" spans="1:10" ht="16.5" customHeight="1">
      <c r="A173" s="47"/>
      <c r="B173" s="85"/>
      <c r="C173" s="88"/>
      <c r="D173" s="75"/>
      <c r="F173" s="15"/>
      <c r="G173" s="1"/>
      <c r="H173" s="3"/>
      <c r="I173" s="3"/>
      <c r="J173" s="6"/>
    </row>
    <row r="174" spans="1:10" ht="17.25" customHeight="1">
      <c r="A174" s="47"/>
      <c r="B174" s="85"/>
      <c r="C174" s="88"/>
      <c r="D174" s="75"/>
      <c r="F174" s="15"/>
      <c r="G174" s="1"/>
      <c r="H174" s="3"/>
      <c r="I174" s="3"/>
      <c r="J174" s="6"/>
    </row>
    <row r="175" spans="1:10" ht="17.25" customHeight="1">
      <c r="A175" s="47"/>
      <c r="B175" s="85"/>
      <c r="C175" s="88"/>
      <c r="D175" s="75"/>
      <c r="F175" s="15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F176" s="2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F177" s="2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F178" s="2"/>
      <c r="G178" s="1"/>
      <c r="H178" s="3"/>
      <c r="I178" s="3"/>
      <c r="J178" s="6"/>
    </row>
    <row r="179" spans="1:10" ht="22.5" customHeight="1">
      <c r="A179" s="47"/>
      <c r="B179" s="85"/>
      <c r="C179" s="88"/>
      <c r="D179" s="75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F181" s="2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F182" s="2"/>
      <c r="G182" s="1"/>
      <c r="H182" s="3"/>
      <c r="I182" s="3"/>
    </row>
    <row r="183" spans="1:10" ht="18" customHeight="1">
      <c r="A183" s="47"/>
      <c r="B183" s="85"/>
      <c r="C183" s="88"/>
      <c r="D183" s="75"/>
      <c r="F183" s="2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F184" s="2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F185" s="2"/>
      <c r="G185" s="1"/>
      <c r="H185" s="3"/>
      <c r="I185" s="3"/>
      <c r="J185" s="6"/>
    </row>
    <row r="186" spans="1:10" ht="18" customHeight="1">
      <c r="A186" s="47"/>
      <c r="B186" s="85"/>
      <c r="C186" s="88"/>
      <c r="D186" s="75"/>
      <c r="F186" s="2"/>
      <c r="G186" s="1"/>
      <c r="H186" s="3"/>
      <c r="I186" s="3"/>
      <c r="J186" s="6"/>
    </row>
    <row r="187" spans="1:10" ht="18" customHeight="1">
      <c r="A187" s="47"/>
      <c r="B187" s="85"/>
      <c r="C187" s="88"/>
      <c r="D187" s="75"/>
      <c r="F187" s="2"/>
      <c r="G187" s="1"/>
      <c r="H187" s="3"/>
      <c r="I187" s="3"/>
      <c r="J187" s="6"/>
    </row>
    <row r="188" spans="1:10" ht="18" customHeight="1">
      <c r="A188" s="47"/>
      <c r="B188" s="85"/>
      <c r="C188" s="88"/>
      <c r="D188" s="75"/>
      <c r="F188" s="2"/>
      <c r="G188" s="1"/>
      <c r="H188" s="3"/>
      <c r="I188" s="3"/>
      <c r="J188" s="6"/>
    </row>
    <row r="189" spans="1:10" ht="18" customHeight="1">
      <c r="A189" s="47"/>
      <c r="B189" s="85"/>
      <c r="C189" s="88"/>
      <c r="D189" s="75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F206" s="2"/>
      <c r="G206" s="1"/>
      <c r="H206" s="3"/>
      <c r="I206" s="3"/>
      <c r="J206" s="6"/>
    </row>
    <row r="207" spans="1:10" ht="18.75" customHeight="1">
      <c r="A207" s="47"/>
      <c r="B207" s="85"/>
      <c r="C207" s="88"/>
      <c r="D207" s="75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F208" s="2"/>
      <c r="G208" s="1"/>
      <c r="H208" s="3"/>
      <c r="I208" s="3"/>
      <c r="J208" s="6"/>
    </row>
    <row r="209" spans="1:10" ht="15" customHeight="1">
      <c r="A209" s="47"/>
      <c r="B209" s="85"/>
      <c r="C209" s="88"/>
      <c r="D209" s="75"/>
      <c r="F209" s="2"/>
      <c r="G209" s="1"/>
      <c r="H209" s="3"/>
      <c r="I209" s="3"/>
      <c r="J209" s="6"/>
    </row>
    <row r="210" spans="1:10" ht="15" customHeight="1">
      <c r="A210" s="47"/>
      <c r="B210" s="85"/>
      <c r="C210" s="88"/>
      <c r="D210" s="75"/>
      <c r="F210" s="2"/>
      <c r="G210" s="1"/>
      <c r="H210" s="3"/>
      <c r="I210" s="3"/>
      <c r="J210" s="6"/>
    </row>
    <row r="211" spans="1:10" ht="15" customHeight="1">
      <c r="A211" s="47"/>
      <c r="B211" s="85"/>
      <c r="C211" s="88"/>
      <c r="D211" s="75"/>
      <c r="F211" s="2"/>
      <c r="G211" s="1"/>
      <c r="H211" s="3"/>
      <c r="I211" s="3"/>
      <c r="J211" s="6"/>
    </row>
    <row r="212" spans="1:10" ht="15" customHeight="1">
      <c r="A212" s="47"/>
      <c r="B212" s="85"/>
      <c r="C212" s="88"/>
      <c r="D212" s="75"/>
      <c r="F212" s="2"/>
      <c r="G212" s="1"/>
      <c r="H212" s="3"/>
      <c r="I212" s="3"/>
      <c r="J212" s="6"/>
    </row>
    <row r="213" spans="1:10" ht="15" customHeight="1">
      <c r="A213" s="47"/>
      <c r="B213" s="85"/>
      <c r="C213" s="88"/>
      <c r="D213" s="75"/>
      <c r="F213" s="2"/>
      <c r="G213" s="1"/>
      <c r="H213" s="3"/>
      <c r="I213" s="3"/>
      <c r="J213" s="6"/>
    </row>
    <row r="214" spans="1:10" ht="15" customHeight="1">
      <c r="A214" s="47"/>
      <c r="B214" s="85"/>
      <c r="C214" s="88"/>
      <c r="D214" s="75"/>
      <c r="F214" s="2"/>
      <c r="G214" s="1"/>
      <c r="H214" s="3"/>
      <c r="I214" s="3"/>
      <c r="J214" s="6"/>
    </row>
    <row r="215" spans="1:10" ht="15" customHeight="1">
      <c r="A215" s="47"/>
      <c r="B215" s="85"/>
      <c r="C215" s="88"/>
      <c r="D215" s="75"/>
      <c r="F215" s="2"/>
      <c r="G215" s="1"/>
      <c r="H215" s="3"/>
      <c r="I215" s="3"/>
      <c r="J215" s="6"/>
    </row>
    <row r="216" spans="1:10" ht="15" customHeight="1">
      <c r="A216" s="47"/>
      <c r="B216" s="85"/>
      <c r="C216" s="88"/>
      <c r="D216" s="75"/>
      <c r="F216" s="2"/>
      <c r="G216" s="1"/>
      <c r="H216" s="3"/>
      <c r="I216" s="3"/>
      <c r="J216" s="6"/>
    </row>
    <row r="217" spans="1:10" ht="15" customHeight="1">
      <c r="A217" s="47"/>
      <c r="B217" s="85"/>
      <c r="C217" s="88"/>
      <c r="D217" s="75"/>
      <c r="F217" s="2"/>
      <c r="G217" s="1"/>
      <c r="H217" s="3"/>
      <c r="I217" s="3"/>
      <c r="J217" s="6"/>
    </row>
    <row r="218" spans="1:10" ht="15" customHeight="1">
      <c r="A218" s="47"/>
      <c r="B218" s="85"/>
      <c r="C218" s="88"/>
      <c r="D218" s="75"/>
      <c r="F218" s="2"/>
      <c r="G218" s="1"/>
      <c r="H218" s="3"/>
      <c r="I218" s="3"/>
      <c r="J218" s="6"/>
    </row>
    <row r="219" spans="1:10" ht="18" customHeight="1" thickBot="1">
      <c r="A219" s="48"/>
      <c r="B219" s="86"/>
      <c r="C219" s="89"/>
      <c r="D219" s="77"/>
      <c r="F219" s="2"/>
      <c r="G219" s="1"/>
      <c r="H219" s="3"/>
      <c r="I219" s="3"/>
      <c r="J219" s="6"/>
    </row>
    <row r="220" spans="1:10" ht="18" customHeight="1">
      <c r="F220" s="2"/>
      <c r="G220" s="1"/>
      <c r="H220" s="3"/>
      <c r="I220" s="3"/>
      <c r="J220" s="6"/>
    </row>
    <row r="221" spans="1:10" ht="18" customHeight="1">
      <c r="F221" s="2"/>
      <c r="G221" s="1"/>
      <c r="H221" s="3"/>
      <c r="I221" s="3"/>
    </row>
    <row r="222" spans="1:10" ht="18" customHeight="1">
      <c r="F222" s="2"/>
      <c r="G222" s="1"/>
      <c r="H222" s="3"/>
      <c r="I222" s="3"/>
    </row>
    <row r="223" spans="1:10" ht="18" customHeight="1">
      <c r="F223" s="2"/>
      <c r="G223" s="1"/>
      <c r="H223" s="3"/>
      <c r="I223" s="3"/>
    </row>
    <row r="224" spans="1:10" ht="18" customHeight="1">
      <c r="F224" s="2"/>
      <c r="G224" s="1"/>
      <c r="H224" s="3"/>
      <c r="I224" s="3"/>
    </row>
    <row r="225" ht="18" customHeight="1"/>
  </sheetData>
  <mergeCells count="4">
    <mergeCell ref="A1:J1"/>
    <mergeCell ref="B22:C22"/>
    <mergeCell ref="A5:C5"/>
    <mergeCell ref="C3:D3"/>
  </mergeCells>
  <phoneticPr fontId="5" type="noConversion"/>
  <conditionalFormatting sqref="J41:J65536 J1 J5:J21 E6:E18">
    <cfRule type="cellIs" dxfId="11" priority="3" stopIfTrue="1" operator="lessThan">
      <formula>0</formula>
    </cfRule>
  </conditionalFormatting>
  <conditionalFormatting sqref="J2:J4">
    <cfRule type="cellIs" dxfId="10" priority="2" stopIfTrue="1" operator="lessThan">
      <formula>0</formula>
    </cfRule>
  </conditionalFormatting>
  <conditionalFormatting sqref="E5">
    <cfRule type="cellIs" dxfId="9" priority="1" stopIfTrue="1" operator="lessThan">
      <formula>0</formula>
    </cfRule>
  </conditionalFormatting>
  <dataValidations count="2">
    <dataValidation type="list" allowBlank="1" showInputMessage="1" showErrorMessage="1" sqref="B6:B14 B16:B18" xr:uid="{091D0CC7-2D37-4BF0-91A2-5476D7F0EC49}">
      <formula1>INDIRECT($A6)</formula1>
    </dataValidation>
    <dataValidation type="list" allowBlank="1" showInputMessage="1" showErrorMessage="1" sqref="B15 C23:C219" xr:uid="{06EE88CF-E495-48E4-86CF-E9E8E4029DD6}">
      <formula1>INDIRECT($B15)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667E-4834-4280-8732-14BFFAAA9A5C}">
  <sheetPr>
    <tabColor rgb="FF00B0F0"/>
  </sheetPr>
  <dimension ref="A1:L219"/>
  <sheetViews>
    <sheetView zoomScaleNormal="100" workbookViewId="0">
      <selection activeCell="K8" sqref="K8"/>
    </sheetView>
  </sheetViews>
  <sheetFormatPr defaultRowHeight="23.25"/>
  <cols>
    <col min="1" max="1" width="11.140625" style="14" customWidth="1"/>
    <col min="2" max="2" width="14.7109375" style="14" customWidth="1"/>
    <col min="3" max="3" width="17.140625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80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98</v>
      </c>
      <c r="C3" s="107" t="s">
        <v>97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7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7" customHeight="1">
      <c r="A6" s="34" t="s">
        <v>1</v>
      </c>
      <c r="B6" s="35" t="s">
        <v>15</v>
      </c>
      <c r="C6" s="36">
        <v>3000</v>
      </c>
      <c r="D6" s="68">
        <f>SUMIF(C17:C213,"13-3-23",D17:D213)</f>
        <v>2000</v>
      </c>
      <c r="E6" s="38">
        <f>+C6-D6</f>
        <v>1000</v>
      </c>
      <c r="F6" s="19"/>
      <c r="G6" s="19"/>
      <c r="H6" s="19"/>
      <c r="I6" s="19"/>
      <c r="J6" s="19"/>
    </row>
    <row r="7" spans="1:10" ht="27" customHeight="1">
      <c r="A7" s="34" t="s">
        <v>1</v>
      </c>
      <c r="B7" s="20" t="s">
        <v>21</v>
      </c>
      <c r="C7" s="4">
        <v>3000</v>
      </c>
      <c r="D7" s="69">
        <f>SUMIF(C17:C213,"15-5-25",D17:D213)</f>
        <v>0</v>
      </c>
      <c r="E7" s="27">
        <f>+C7-D7</f>
        <v>3000</v>
      </c>
      <c r="F7" s="19"/>
      <c r="G7" s="19"/>
      <c r="H7" s="19"/>
      <c r="I7" s="19"/>
      <c r="J7" s="19"/>
    </row>
    <row r="8" spans="1:10" ht="27" customHeight="1">
      <c r="A8" s="34" t="s">
        <v>1</v>
      </c>
      <c r="B8" s="20" t="s">
        <v>30</v>
      </c>
      <c r="C8" s="4">
        <v>3000</v>
      </c>
      <c r="D8" s="69">
        <f>SUMIF(C17:C213,"20-5-3",D17:D213)</f>
        <v>0</v>
      </c>
      <c r="E8" s="27">
        <f>+C8-D8</f>
        <v>3000</v>
      </c>
      <c r="F8" s="19"/>
      <c r="G8" s="19"/>
      <c r="H8" s="19"/>
      <c r="I8" s="19"/>
      <c r="J8" s="19"/>
    </row>
    <row r="9" spans="1:10" ht="27" customHeight="1">
      <c r="A9" s="34" t="s">
        <v>1</v>
      </c>
      <c r="B9" s="20" t="s">
        <v>10</v>
      </c>
      <c r="C9" s="4">
        <v>3000</v>
      </c>
      <c r="D9" s="69">
        <f>SUMIF($C$17:C213,"เสื้อยืดแขนยาว",$D$17:D213)</f>
        <v>500</v>
      </c>
      <c r="E9" s="27">
        <f>+C9-D9</f>
        <v>2500</v>
      </c>
      <c r="F9" s="19"/>
      <c r="G9" s="19"/>
      <c r="H9" s="19"/>
      <c r="I9" s="19"/>
      <c r="J9" s="19"/>
    </row>
    <row r="10" spans="1:10" ht="27" customHeight="1">
      <c r="A10" s="102" t="s">
        <v>1</v>
      </c>
      <c r="B10" s="91" t="s">
        <v>110</v>
      </c>
      <c r="C10" s="92"/>
      <c r="D10" s="69">
        <f>SUMIF($C$17:C215,"แบนเนอร์ ปุ๋ยเทพ",$D$17:D215)</f>
        <v>11</v>
      </c>
      <c r="E10" s="27">
        <f>+C10-D10</f>
        <v>-11</v>
      </c>
      <c r="F10" s="19"/>
      <c r="G10" s="19"/>
      <c r="H10" s="19"/>
      <c r="I10" s="19"/>
      <c r="J10" s="19"/>
    </row>
    <row r="11" spans="1:10" ht="27" customHeight="1">
      <c r="A11" s="102"/>
      <c r="B11" s="91"/>
      <c r="C11" s="92"/>
      <c r="D11" s="93"/>
      <c r="E11" s="94"/>
      <c r="F11" s="19"/>
      <c r="G11" s="19"/>
      <c r="H11" s="19"/>
      <c r="I11" s="19"/>
      <c r="J11" s="19"/>
    </row>
    <row r="12" spans="1:10" ht="27" customHeight="1" thickBot="1">
      <c r="A12" s="29"/>
      <c r="B12" s="30"/>
      <c r="C12" s="31"/>
      <c r="D12" s="70"/>
      <c r="E12" s="33"/>
      <c r="F12" s="19"/>
      <c r="G12" s="19"/>
      <c r="H12" s="19"/>
      <c r="I12" s="19"/>
      <c r="J12" s="19"/>
    </row>
    <row r="13" spans="1:10" s="83" customFormat="1" ht="27" customHeight="1" thickBot="1">
      <c r="A13" s="82"/>
      <c r="B13" s="5"/>
      <c r="C13" s="80">
        <f>SUM(C6:C12)</f>
        <v>12000</v>
      </c>
      <c r="D13" s="81">
        <f>SUM(D6:D12)</f>
        <v>2511</v>
      </c>
      <c r="E13" s="80">
        <f>SUM(E6:E12)</f>
        <v>9489</v>
      </c>
      <c r="F13" s="19"/>
      <c r="G13" s="19"/>
      <c r="H13" s="19"/>
      <c r="I13" s="19"/>
      <c r="J13" s="19"/>
    </row>
    <row r="14" spans="1:10" ht="23.25" customHeight="1" thickTop="1">
      <c r="A14" s="2"/>
      <c r="B14" s="1"/>
      <c r="C14" s="3"/>
      <c r="D14" s="79"/>
      <c r="E14" s="3"/>
      <c r="F14" s="19"/>
      <c r="G14" s="19"/>
      <c r="H14" s="19"/>
      <c r="I14" s="19"/>
      <c r="J14" s="19"/>
    </row>
    <row r="15" spans="1:10" ht="23.25" customHeight="1" thickBot="1">
      <c r="A15" s="19"/>
      <c r="B15" s="19"/>
      <c r="C15" s="19"/>
      <c r="D15" s="66"/>
      <c r="E15" s="19"/>
      <c r="F15" s="19"/>
      <c r="G15" s="19"/>
      <c r="H15" s="19"/>
      <c r="I15" s="19"/>
      <c r="J15" s="19"/>
    </row>
    <row r="16" spans="1:10" ht="18" customHeight="1" thickBot="1">
      <c r="A16" s="56" t="s">
        <v>73</v>
      </c>
      <c r="B16" s="105" t="s">
        <v>72</v>
      </c>
      <c r="C16" s="106"/>
      <c r="D16" s="65" t="s">
        <v>0</v>
      </c>
      <c r="E16" s="97" t="s">
        <v>111</v>
      </c>
      <c r="H16" s="14"/>
    </row>
    <row r="17" spans="1:12" ht="18" customHeight="1">
      <c r="A17" s="63">
        <v>25263</v>
      </c>
      <c r="B17" s="84" t="s">
        <v>1</v>
      </c>
      <c r="C17" s="87" t="s">
        <v>15</v>
      </c>
      <c r="D17" s="73">
        <v>900</v>
      </c>
      <c r="E17" s="98"/>
      <c r="H17" s="14"/>
    </row>
    <row r="18" spans="1:12" ht="18" customHeight="1">
      <c r="A18" s="41"/>
      <c r="B18" s="85" t="s">
        <v>1</v>
      </c>
      <c r="C18" s="88" t="s">
        <v>110</v>
      </c>
      <c r="D18" s="73">
        <v>10</v>
      </c>
      <c r="E18" s="99" t="s">
        <v>114</v>
      </c>
      <c r="H18" s="14"/>
    </row>
    <row r="19" spans="1:12" ht="18" customHeight="1">
      <c r="A19" s="41"/>
      <c r="B19" s="85" t="s">
        <v>1</v>
      </c>
      <c r="C19" s="88" t="s">
        <v>110</v>
      </c>
      <c r="D19" s="73">
        <v>1</v>
      </c>
      <c r="E19" s="99" t="s">
        <v>115</v>
      </c>
      <c r="H19" s="14"/>
    </row>
    <row r="20" spans="1:12" ht="18" customHeight="1">
      <c r="A20" s="63">
        <v>25294</v>
      </c>
      <c r="B20" s="85" t="s">
        <v>1</v>
      </c>
      <c r="C20" s="88" t="s">
        <v>15</v>
      </c>
      <c r="D20" s="73">
        <v>1100</v>
      </c>
      <c r="E20" s="99"/>
      <c r="H20" s="14"/>
    </row>
    <row r="21" spans="1:12" ht="18" customHeight="1">
      <c r="A21" s="41"/>
      <c r="B21" s="85" t="s">
        <v>1</v>
      </c>
      <c r="C21" s="88" t="s">
        <v>10</v>
      </c>
      <c r="D21" s="73">
        <v>500</v>
      </c>
      <c r="E21" s="99"/>
      <c r="H21" s="14"/>
    </row>
    <row r="22" spans="1:12" ht="18" customHeight="1">
      <c r="A22" s="41"/>
      <c r="B22" s="85"/>
      <c r="C22" s="88"/>
      <c r="D22" s="73"/>
      <c r="E22" s="99"/>
      <c r="H22" s="14"/>
    </row>
    <row r="23" spans="1:12" ht="18" customHeight="1">
      <c r="A23" s="41"/>
      <c r="B23" s="85"/>
      <c r="C23" s="88"/>
      <c r="D23" s="73"/>
      <c r="E23" s="99"/>
      <c r="H23" s="14"/>
    </row>
    <row r="24" spans="1:12" ht="18" customHeight="1">
      <c r="A24" s="41"/>
      <c r="B24" s="85"/>
      <c r="C24" s="88"/>
      <c r="D24" s="74"/>
      <c r="E24" s="99"/>
      <c r="F24" s="2"/>
      <c r="G24" s="1"/>
      <c r="H24" s="3"/>
      <c r="I24" s="3"/>
      <c r="J24" s="6"/>
    </row>
    <row r="25" spans="1:12" ht="18" customHeight="1">
      <c r="A25" s="41"/>
      <c r="B25" s="85"/>
      <c r="C25" s="88"/>
      <c r="D25" s="74"/>
      <c r="E25" s="99"/>
      <c r="F25" s="2"/>
      <c r="G25" s="3"/>
      <c r="H25" s="3"/>
      <c r="I25" s="3"/>
      <c r="J25" s="6"/>
    </row>
    <row r="26" spans="1:12" ht="18" customHeight="1">
      <c r="A26" s="41"/>
      <c r="B26" s="85"/>
      <c r="C26" s="88"/>
      <c r="D26" s="74"/>
      <c r="E26" s="99"/>
      <c r="F26" s="2"/>
      <c r="G26" s="3"/>
      <c r="H26" s="3"/>
      <c r="I26" s="3"/>
      <c r="J26" s="6"/>
      <c r="K26" s="6"/>
    </row>
    <row r="27" spans="1:12" ht="18" customHeight="1">
      <c r="A27" s="41"/>
      <c r="B27" s="85"/>
      <c r="C27" s="88"/>
      <c r="D27" s="74"/>
      <c r="E27" s="99"/>
      <c r="F27" s="2"/>
      <c r="G27" s="3"/>
      <c r="H27" s="3"/>
      <c r="I27" s="3"/>
      <c r="J27" s="6"/>
      <c r="K27" s="6"/>
      <c r="L27" s="3"/>
    </row>
    <row r="28" spans="1:12" ht="18" customHeight="1">
      <c r="A28" s="41"/>
      <c r="B28" s="85"/>
      <c r="C28" s="88"/>
      <c r="D28" s="74"/>
      <c r="E28" s="99"/>
      <c r="F28" s="2"/>
      <c r="G28" s="1"/>
      <c r="H28" s="3"/>
      <c r="I28" s="3"/>
      <c r="J28" s="6"/>
    </row>
    <row r="29" spans="1:12" ht="17.25" customHeight="1">
      <c r="A29" s="41"/>
      <c r="B29" s="85"/>
      <c r="C29" s="88"/>
      <c r="D29" s="74"/>
      <c r="E29" s="96"/>
      <c r="F29" s="2"/>
      <c r="G29" s="1"/>
      <c r="H29" s="3"/>
      <c r="I29" s="3"/>
      <c r="J29" s="6"/>
    </row>
    <row r="30" spans="1:12" ht="17.25" customHeight="1">
      <c r="A30" s="42"/>
      <c r="B30" s="85"/>
      <c r="C30" s="88"/>
      <c r="D30" s="74"/>
      <c r="E30" s="96"/>
      <c r="F30" s="2"/>
      <c r="G30" s="1"/>
      <c r="H30" s="3"/>
      <c r="I30" s="3"/>
      <c r="J30" s="6"/>
    </row>
    <row r="31" spans="1:12" ht="17.25" customHeight="1">
      <c r="A31" s="42"/>
      <c r="B31" s="85"/>
      <c r="C31" s="88"/>
      <c r="D31" s="75"/>
      <c r="E31" s="99"/>
      <c r="F31" s="2"/>
      <c r="G31" s="1"/>
      <c r="H31" s="3"/>
      <c r="I31" s="3"/>
      <c r="J31" s="6"/>
    </row>
    <row r="32" spans="1:12" ht="17.25" customHeight="1">
      <c r="A32" s="43"/>
      <c r="B32" s="85"/>
      <c r="C32" s="88"/>
      <c r="D32" s="76"/>
      <c r="E32" s="99"/>
      <c r="F32" s="2"/>
      <c r="G32" s="1"/>
      <c r="H32" s="3"/>
      <c r="I32" s="3"/>
      <c r="J32" s="6"/>
    </row>
    <row r="33" spans="1:10" ht="17.25" customHeight="1">
      <c r="A33" s="44" t="s">
        <v>3</v>
      </c>
      <c r="B33" s="85"/>
      <c r="C33" s="88"/>
      <c r="D33" s="76"/>
      <c r="E33" s="99"/>
      <c r="F33" s="6"/>
      <c r="G33" s="1"/>
      <c r="H33" s="3"/>
      <c r="I33" s="3"/>
      <c r="J33" s="6"/>
    </row>
    <row r="34" spans="1:10" ht="17.25" customHeight="1">
      <c r="A34" s="45"/>
      <c r="B34" s="85"/>
      <c r="C34" s="88"/>
      <c r="D34" s="76"/>
      <c r="E34" s="99"/>
      <c r="F34" s="2"/>
      <c r="G34" s="1"/>
      <c r="H34" s="3"/>
      <c r="I34" s="3"/>
      <c r="J34" s="6"/>
    </row>
    <row r="35" spans="1:10" ht="17.25" customHeight="1">
      <c r="A35" s="46"/>
      <c r="B35" s="85"/>
      <c r="C35" s="88"/>
      <c r="D35" s="75"/>
      <c r="E35" s="99"/>
      <c r="F35" s="2"/>
      <c r="G35" s="6"/>
      <c r="H35" s="6"/>
      <c r="I35" s="6"/>
      <c r="J35" s="6"/>
    </row>
    <row r="36" spans="1:10" ht="17.25" customHeight="1">
      <c r="A36" s="46"/>
      <c r="B36" s="85"/>
      <c r="C36" s="88"/>
      <c r="D36" s="75"/>
      <c r="E36" s="99"/>
      <c r="F36" s="2"/>
      <c r="G36" s="1"/>
      <c r="H36" s="3"/>
      <c r="I36" s="3"/>
      <c r="J36" s="6"/>
    </row>
    <row r="37" spans="1:10" ht="17.25" customHeight="1">
      <c r="A37" s="46"/>
      <c r="B37" s="85"/>
      <c r="C37" s="88"/>
      <c r="D37" s="75"/>
      <c r="E37" s="99"/>
      <c r="F37" s="2"/>
      <c r="G37" s="1"/>
      <c r="H37" s="3"/>
      <c r="I37" s="3"/>
      <c r="J37" s="6"/>
    </row>
    <row r="38" spans="1:10" ht="17.25" customHeight="1">
      <c r="A38" s="42"/>
      <c r="B38" s="85"/>
      <c r="C38" s="88"/>
      <c r="D38" s="75"/>
      <c r="E38" s="99"/>
      <c r="F38" s="2"/>
      <c r="G38" s="1"/>
      <c r="H38" s="3"/>
      <c r="I38" s="3"/>
      <c r="J38" s="6"/>
    </row>
    <row r="39" spans="1:10" ht="17.25" customHeight="1">
      <c r="A39" s="47"/>
      <c r="B39" s="85"/>
      <c r="C39" s="88"/>
      <c r="D39" s="75"/>
      <c r="E39" s="100"/>
      <c r="F39" s="2"/>
      <c r="G39" s="1"/>
      <c r="H39" s="3"/>
      <c r="I39" s="3"/>
      <c r="J39" s="6"/>
    </row>
    <row r="40" spans="1:10" ht="17.25" customHeight="1">
      <c r="A40" s="47"/>
      <c r="B40" s="85"/>
      <c r="C40" s="88"/>
      <c r="D40" s="75"/>
      <c r="E40" s="100"/>
      <c r="F40" s="15"/>
      <c r="G40" s="1"/>
      <c r="H40" s="3"/>
      <c r="I40" s="3"/>
      <c r="J40" s="6"/>
    </row>
    <row r="41" spans="1:10" ht="17.25" customHeight="1">
      <c r="A41" s="47"/>
      <c r="B41" s="85"/>
      <c r="C41" s="88"/>
      <c r="D41" s="75"/>
      <c r="E41" s="100"/>
      <c r="F41" s="15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E42" s="100"/>
      <c r="F42" s="15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E43" s="100"/>
      <c r="F43" s="15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E44" s="100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E45" s="100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E46" s="100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E47" s="100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E48" s="100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E49" s="100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E50" s="100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E51" s="100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E52" s="100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E53" s="100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E54" s="100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E55" s="100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E56" s="100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E57" s="100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E58" s="100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E59" s="100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E60" s="100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E61" s="100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E62" s="100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E63" s="100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E64" s="100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E65" s="100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E66" s="100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E67" s="100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E68" s="100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E69" s="100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E70" s="100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E71" s="100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E72" s="100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E73" s="100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E74" s="100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E75" s="100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E76" s="100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E77" s="100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E78" s="100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E79" s="100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E80" s="100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E81" s="100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E82" s="100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E83" s="100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E84" s="100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E85" s="100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E86" s="100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E87" s="100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E88" s="100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E89" s="100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E90" s="100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E91" s="100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E92" s="100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E93" s="100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E94" s="100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E95" s="100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E96" s="100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E97" s="100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E98" s="100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E99" s="100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E100" s="100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E101" s="100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E102" s="100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E103" s="100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E104" s="100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E105" s="100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E106" s="100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E107" s="100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E108" s="100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E109" s="100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E110" s="100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E111" s="100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E112" s="100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E113" s="100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E114" s="100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E115" s="100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E116" s="100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E117" s="100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E118" s="100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E119" s="100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E120" s="100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E121" s="100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E122" s="100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E123" s="100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E124" s="100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E125" s="100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E126" s="100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E127" s="100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E128" s="100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E129" s="100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E130" s="100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E131" s="100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E132" s="100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E133" s="100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E134" s="100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E135" s="100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E136" s="100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E137" s="100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E138" s="100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E139" s="100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E140" s="100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E141" s="100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E142" s="100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E143" s="100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E144" s="100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E145" s="100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E146" s="100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E147" s="100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E148" s="100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E149" s="100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E150" s="100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E151" s="100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E152" s="100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E153" s="100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E154" s="100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E155" s="100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E156" s="100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E157" s="100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E158" s="100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E159" s="100"/>
      <c r="F159" s="2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E160" s="100"/>
      <c r="F160" s="2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E161" s="100"/>
      <c r="F161" s="2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E162" s="100"/>
      <c r="G162" s="1"/>
      <c r="H162" s="3"/>
      <c r="I162" s="3"/>
      <c r="J162" s="6"/>
    </row>
    <row r="163" spans="1:10" ht="16.5" customHeight="1">
      <c r="A163" s="47"/>
      <c r="B163" s="85"/>
      <c r="C163" s="88"/>
      <c r="D163" s="75"/>
      <c r="E163" s="100"/>
      <c r="G163" s="1"/>
      <c r="H163" s="3"/>
      <c r="I163" s="3"/>
      <c r="J163" s="6"/>
    </row>
    <row r="164" spans="1:10" ht="16.5" customHeight="1">
      <c r="A164" s="47"/>
      <c r="B164" s="85"/>
      <c r="C164" s="88"/>
      <c r="D164" s="75"/>
      <c r="E164" s="100"/>
      <c r="F164" s="2"/>
      <c r="G164" s="1"/>
      <c r="H164" s="3"/>
      <c r="I164" s="3"/>
      <c r="J164" s="6"/>
    </row>
    <row r="165" spans="1:10" ht="16.5" customHeight="1">
      <c r="A165" s="47"/>
      <c r="B165" s="85"/>
      <c r="C165" s="88"/>
      <c r="D165" s="75"/>
      <c r="E165" s="100"/>
      <c r="F165" s="2"/>
      <c r="G165" s="1"/>
      <c r="H165" s="3"/>
      <c r="I165" s="3"/>
    </row>
    <row r="166" spans="1:10" ht="16.5" customHeight="1">
      <c r="A166" s="47"/>
      <c r="B166" s="85"/>
      <c r="C166" s="88"/>
      <c r="D166" s="75"/>
      <c r="E166" s="100"/>
      <c r="F166" s="2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E167" s="100"/>
      <c r="F167" s="2"/>
      <c r="G167" s="1"/>
      <c r="H167" s="3"/>
      <c r="I167" s="3"/>
      <c r="J167" s="6"/>
    </row>
    <row r="168" spans="1:10" ht="17.25" customHeight="1">
      <c r="A168" s="47"/>
      <c r="B168" s="85"/>
      <c r="C168" s="88"/>
      <c r="D168" s="75"/>
      <c r="E168" s="100"/>
      <c r="F168" s="2"/>
      <c r="G168" s="1"/>
      <c r="H168" s="3"/>
      <c r="I168" s="3"/>
      <c r="J168" s="6"/>
    </row>
    <row r="169" spans="1:10" ht="17.25" customHeight="1">
      <c r="A169" s="47"/>
      <c r="B169" s="85"/>
      <c r="C169" s="88"/>
      <c r="D169" s="75"/>
      <c r="E169" s="100"/>
      <c r="F169" s="2"/>
      <c r="G169" s="1"/>
      <c r="H169" s="3"/>
      <c r="I169" s="3"/>
      <c r="J169" s="6"/>
    </row>
    <row r="170" spans="1:10" ht="18" customHeight="1">
      <c r="A170" s="47"/>
      <c r="B170" s="85"/>
      <c r="C170" s="88"/>
      <c r="D170" s="75"/>
      <c r="E170" s="100"/>
      <c r="F170" s="2"/>
      <c r="G170" s="1"/>
      <c r="H170" s="3"/>
      <c r="I170" s="3"/>
      <c r="J170" s="6"/>
    </row>
    <row r="171" spans="1:10" ht="18" customHeight="1">
      <c r="A171" s="47"/>
      <c r="B171" s="85"/>
      <c r="C171" s="88"/>
      <c r="D171" s="75"/>
      <c r="E171" s="100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75"/>
      <c r="E172" s="100"/>
      <c r="G172" s="1"/>
      <c r="H172" s="3"/>
      <c r="I172" s="3"/>
      <c r="J172" s="6"/>
    </row>
    <row r="173" spans="1:10" ht="22.5" customHeight="1">
      <c r="A173" s="47"/>
      <c r="B173" s="85"/>
      <c r="C173" s="88"/>
      <c r="D173" s="75"/>
      <c r="E173" s="100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E174" s="100"/>
      <c r="G174" s="1"/>
      <c r="H174" s="3"/>
      <c r="I174" s="3"/>
      <c r="J174" s="6"/>
    </row>
    <row r="175" spans="1:10" ht="18" customHeight="1">
      <c r="A175" s="47"/>
      <c r="B175" s="85"/>
      <c r="C175" s="88"/>
      <c r="D175" s="75"/>
      <c r="E175" s="100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E176" s="100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E177" s="100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E178" s="100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E179" s="100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E180" s="100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E181" s="100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E182" s="100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E183" s="100"/>
      <c r="G183" s="1"/>
      <c r="H183" s="3"/>
      <c r="I183" s="3"/>
      <c r="J183" s="6"/>
    </row>
    <row r="184" spans="1:10" ht="15" customHeight="1">
      <c r="A184" s="47"/>
      <c r="B184" s="85"/>
      <c r="C184" s="88"/>
      <c r="D184" s="75"/>
      <c r="E184" s="100"/>
      <c r="G184" s="1"/>
      <c r="H184" s="3"/>
      <c r="I184" s="3"/>
      <c r="J184" s="6"/>
    </row>
    <row r="185" spans="1:10" ht="15" customHeight="1">
      <c r="A185" s="47"/>
      <c r="B185" s="85"/>
      <c r="C185" s="88"/>
      <c r="D185" s="75"/>
      <c r="E185" s="100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E186" s="100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E187" s="100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E188" s="100"/>
      <c r="F188" s="2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E189" s="100"/>
      <c r="F189" s="2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E190" s="100"/>
      <c r="F190" s="2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E191" s="100"/>
      <c r="F191" s="2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E192" s="100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E193" s="100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E194" s="100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E195" s="100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E196" s="100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E197" s="100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E198" s="100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E199" s="100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E200" s="100"/>
      <c r="F200" s="2"/>
      <c r="G200" s="1"/>
      <c r="H200" s="3"/>
      <c r="I200" s="3"/>
      <c r="J200" s="6"/>
    </row>
    <row r="201" spans="1:10" ht="18.75" customHeight="1">
      <c r="A201" s="47"/>
      <c r="B201" s="85"/>
      <c r="C201" s="88"/>
      <c r="D201" s="75"/>
      <c r="E201" s="100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E202" s="100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75"/>
      <c r="E203" s="100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E204" s="100"/>
      <c r="F204" s="2"/>
      <c r="G204" s="1"/>
      <c r="H204" s="3"/>
      <c r="I204" s="3"/>
    </row>
    <row r="205" spans="1:10" ht="15" customHeight="1">
      <c r="A205" s="47"/>
      <c r="B205" s="85"/>
      <c r="C205" s="88"/>
      <c r="D205" s="75"/>
      <c r="E205" s="100"/>
      <c r="F205" s="2"/>
      <c r="G205" s="1"/>
      <c r="H205" s="3"/>
      <c r="I205" s="3"/>
    </row>
    <row r="206" spans="1:10" ht="15" customHeight="1">
      <c r="A206" s="47"/>
      <c r="B206" s="85"/>
      <c r="C206" s="88"/>
      <c r="D206" s="75"/>
      <c r="E206" s="100"/>
      <c r="F206" s="2"/>
      <c r="G206" s="1"/>
      <c r="H206" s="3"/>
      <c r="I206" s="3"/>
    </row>
    <row r="207" spans="1:10" ht="15" customHeight="1">
      <c r="A207" s="47"/>
      <c r="B207" s="85"/>
      <c r="C207" s="88"/>
      <c r="D207" s="75"/>
      <c r="E207" s="100"/>
      <c r="F207" s="2"/>
      <c r="G207" s="1"/>
      <c r="H207" s="3"/>
      <c r="I207" s="3"/>
    </row>
    <row r="208" spans="1:10" ht="15" customHeight="1">
      <c r="A208" s="47"/>
      <c r="B208" s="85"/>
      <c r="C208" s="88"/>
      <c r="D208" s="75"/>
      <c r="E208" s="100"/>
    </row>
    <row r="209" spans="1:5" ht="15" customHeight="1">
      <c r="A209" s="47"/>
      <c r="B209" s="85"/>
      <c r="C209" s="88"/>
      <c r="D209" s="75"/>
      <c r="E209" s="100"/>
    </row>
    <row r="210" spans="1:5" ht="15" customHeight="1">
      <c r="A210" s="47"/>
      <c r="B210" s="85"/>
      <c r="C210" s="88"/>
      <c r="D210" s="75"/>
      <c r="E210" s="100"/>
    </row>
    <row r="211" spans="1:5" ht="15" customHeight="1">
      <c r="A211" s="47"/>
      <c r="B211" s="85"/>
      <c r="C211" s="88"/>
      <c r="D211" s="75"/>
      <c r="E211" s="100"/>
    </row>
    <row r="212" spans="1:5" ht="15" customHeight="1">
      <c r="A212" s="47"/>
      <c r="B212" s="85"/>
      <c r="C212" s="88"/>
      <c r="D212" s="75"/>
      <c r="E212" s="100"/>
    </row>
    <row r="213" spans="1:5" ht="18" customHeight="1" thickBot="1">
      <c r="A213" s="48"/>
      <c r="B213" s="86"/>
      <c r="C213" s="89"/>
      <c r="D213" s="77"/>
      <c r="E213" s="101"/>
    </row>
    <row r="214" spans="1:5" ht="18" customHeight="1"/>
    <row r="215" spans="1:5" ht="18" customHeight="1"/>
    <row r="216" spans="1:5" ht="18" customHeight="1"/>
    <row r="217" spans="1:5" ht="18" customHeight="1"/>
    <row r="218" spans="1:5" ht="18" customHeight="1"/>
    <row r="219" spans="1:5" ht="18" customHeight="1"/>
  </sheetData>
  <mergeCells count="4">
    <mergeCell ref="A1:J1"/>
    <mergeCell ref="B16:C16"/>
    <mergeCell ref="A5:C5"/>
    <mergeCell ref="C3:D3"/>
  </mergeCells>
  <conditionalFormatting sqref="J24:J65536 J1 J5:J15 E6:E12">
    <cfRule type="cellIs" dxfId="8" priority="3" stopIfTrue="1" operator="lessThan">
      <formula>0</formula>
    </cfRule>
  </conditionalFormatting>
  <conditionalFormatting sqref="J2:J4">
    <cfRule type="cellIs" dxfId="7" priority="2" stopIfTrue="1" operator="lessThan">
      <formula>0</formula>
    </cfRule>
  </conditionalFormatting>
  <conditionalFormatting sqref="E5">
    <cfRule type="cellIs" dxfId="6" priority="1" stopIfTrue="1" operator="lessThan">
      <formula>0</formula>
    </cfRule>
  </conditionalFormatting>
  <dataValidations count="2">
    <dataValidation type="list" allowBlank="1" showInputMessage="1" showErrorMessage="1" sqref="C17:C213" xr:uid="{7BD82E1E-60FE-42F7-8E70-0DA3FE4EBD58}">
      <formula1>INDIRECT($B17)</formula1>
    </dataValidation>
    <dataValidation type="list" allowBlank="1" showInputMessage="1" showErrorMessage="1" sqref="B6:B12" xr:uid="{830DDC29-16C2-46B7-BF74-8E5D088B8266}">
      <formula1>INDIRECT($A6)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F4E8-BCA9-4BB7-A132-E545A1FD38E4}">
  <sheetPr>
    <tabColor rgb="FF00B0F0"/>
  </sheetPr>
  <dimension ref="A1:L221"/>
  <sheetViews>
    <sheetView zoomScaleNormal="100" workbookViewId="0">
      <selection activeCell="K26" sqref="K26"/>
    </sheetView>
  </sheetViews>
  <sheetFormatPr defaultRowHeight="23.25"/>
  <cols>
    <col min="1" max="1" width="12.7109375" style="14" customWidth="1"/>
    <col min="2" max="2" width="15.42578125" style="14" customWidth="1"/>
    <col min="3" max="3" width="17" style="21" customWidth="1"/>
    <col min="4" max="4" width="14.28515625" style="78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81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66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100</v>
      </c>
      <c r="C3" s="107" t="s">
        <v>99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7"/>
      <c r="E4" s="9"/>
      <c r="F4" s="9"/>
      <c r="G4" s="9"/>
      <c r="H4" s="9"/>
      <c r="I4" s="9"/>
      <c r="J4" s="9"/>
    </row>
    <row r="5" spans="1:10" ht="27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7" customHeight="1">
      <c r="A6" s="34" t="s">
        <v>1</v>
      </c>
      <c r="B6" s="35" t="s">
        <v>15</v>
      </c>
      <c r="C6" s="36">
        <v>2818</v>
      </c>
      <c r="D6" s="68">
        <f>SUMIF(C19:C215,"13-3-23",D19:D215)</f>
        <v>100</v>
      </c>
      <c r="E6" s="38">
        <f t="shared" ref="E6:E12" si="0">+C6-D6</f>
        <v>2718</v>
      </c>
      <c r="F6" s="19"/>
      <c r="G6" s="19"/>
      <c r="H6" s="19"/>
      <c r="I6" s="19"/>
      <c r="J6" s="19"/>
    </row>
    <row r="7" spans="1:10" ht="27" customHeight="1">
      <c r="A7" s="34" t="s">
        <v>1</v>
      </c>
      <c r="B7" s="20" t="s">
        <v>21</v>
      </c>
      <c r="C7" s="4">
        <v>3000</v>
      </c>
      <c r="D7" s="69">
        <f>SUMIF(C19:C215,"15-5-25",D19:D215)</f>
        <v>0</v>
      </c>
      <c r="E7" s="27">
        <f t="shared" si="0"/>
        <v>3000</v>
      </c>
      <c r="F7" s="19"/>
      <c r="G7" s="19"/>
      <c r="H7" s="19"/>
      <c r="I7" s="19"/>
      <c r="J7" s="19"/>
    </row>
    <row r="8" spans="1:10" ht="27" customHeight="1">
      <c r="A8" s="34" t="s">
        <v>1</v>
      </c>
      <c r="B8" s="20" t="s">
        <v>23</v>
      </c>
      <c r="C8" s="4">
        <v>3000</v>
      </c>
      <c r="D8" s="69">
        <f>SUMIF(C19:C215,"15-10-30",D19:D215)</f>
        <v>0</v>
      </c>
      <c r="E8" s="27">
        <f t="shared" si="0"/>
        <v>3000</v>
      </c>
      <c r="F8" s="19"/>
      <c r="G8" s="19"/>
      <c r="H8" s="19"/>
      <c r="I8" s="19"/>
      <c r="J8" s="19"/>
    </row>
    <row r="9" spans="1:10" ht="27" customHeight="1">
      <c r="A9" s="34" t="s">
        <v>1</v>
      </c>
      <c r="B9" s="20" t="s">
        <v>30</v>
      </c>
      <c r="C9" s="4">
        <v>2000</v>
      </c>
      <c r="D9" s="69">
        <f>SUMIF(C20:C216,"20-5-3",D20:D216)</f>
        <v>0</v>
      </c>
      <c r="E9" s="27">
        <f t="shared" si="0"/>
        <v>2000</v>
      </c>
      <c r="F9" s="19"/>
      <c r="G9" s="19"/>
      <c r="H9" s="19"/>
      <c r="I9" s="19"/>
      <c r="J9" s="19"/>
    </row>
    <row r="10" spans="1:10" ht="27" customHeight="1">
      <c r="A10" s="34" t="s">
        <v>1</v>
      </c>
      <c r="B10" s="20" t="s">
        <v>8</v>
      </c>
      <c r="C10" s="4">
        <v>3000</v>
      </c>
      <c r="D10" s="69">
        <f>SUMIF(C21:C217,"20-8-8",D21:D217)</f>
        <v>100</v>
      </c>
      <c r="E10" s="27">
        <f t="shared" si="0"/>
        <v>2900</v>
      </c>
      <c r="F10" s="19"/>
      <c r="G10" s="19"/>
      <c r="H10" s="19"/>
      <c r="I10" s="19"/>
      <c r="J10" s="19"/>
    </row>
    <row r="11" spans="1:10" ht="27" customHeight="1">
      <c r="A11" s="34" t="s">
        <v>1</v>
      </c>
      <c r="B11" s="20" t="s">
        <v>10</v>
      </c>
      <c r="C11" s="4">
        <v>4000</v>
      </c>
      <c r="D11" s="69">
        <f>SUMIF($C$19:C217,"เสื้อยืดแขนยาว",$D$19:D217)</f>
        <v>180</v>
      </c>
      <c r="E11" s="27">
        <f t="shared" si="0"/>
        <v>3820</v>
      </c>
      <c r="F11" s="19"/>
      <c r="G11" s="19"/>
      <c r="H11" s="19"/>
      <c r="I11" s="19"/>
      <c r="J11" s="19"/>
    </row>
    <row r="12" spans="1:10" ht="27" customHeight="1">
      <c r="A12" s="34" t="s">
        <v>1</v>
      </c>
      <c r="B12" s="20" t="s">
        <v>110</v>
      </c>
      <c r="C12" s="4"/>
      <c r="D12" s="69">
        <f>SUMIF($C$19:C218,"แบนเนอร์ ปุ๋ยเทพ",$D$19:D218)</f>
        <v>2</v>
      </c>
      <c r="E12" s="27">
        <f t="shared" si="0"/>
        <v>-2</v>
      </c>
      <c r="F12" s="19"/>
      <c r="G12" s="19"/>
      <c r="H12" s="19"/>
      <c r="I12" s="19"/>
      <c r="J12" s="19"/>
    </row>
    <row r="13" spans="1:10" ht="27" customHeight="1">
      <c r="A13" s="102"/>
      <c r="B13" s="91"/>
      <c r="C13" s="92"/>
      <c r="D13" s="93"/>
      <c r="E13" s="94"/>
      <c r="F13" s="19"/>
      <c r="G13" s="19"/>
      <c r="H13" s="19"/>
      <c r="I13" s="19"/>
      <c r="J13" s="19"/>
    </row>
    <row r="14" spans="1:10" ht="27" customHeight="1" thickBot="1">
      <c r="A14" s="29"/>
      <c r="B14" s="30"/>
      <c r="C14" s="31"/>
      <c r="D14" s="70"/>
      <c r="E14" s="33"/>
      <c r="F14" s="19"/>
      <c r="G14" s="19"/>
      <c r="H14" s="19"/>
      <c r="I14" s="19"/>
      <c r="J14" s="19"/>
    </row>
    <row r="15" spans="1:10" s="83" customFormat="1" ht="27" customHeight="1" thickBot="1">
      <c r="A15" s="82"/>
      <c r="B15" s="5"/>
      <c r="C15" s="80">
        <f>SUM(C6:C14)</f>
        <v>17818</v>
      </c>
      <c r="D15" s="81">
        <f>SUM(D6:D14)</f>
        <v>382</v>
      </c>
      <c r="E15" s="80">
        <f>SUM(E6:E14)</f>
        <v>17436</v>
      </c>
      <c r="F15" s="19"/>
      <c r="G15" s="19"/>
      <c r="H15" s="19"/>
      <c r="I15" s="19"/>
      <c r="J15" s="19"/>
    </row>
    <row r="16" spans="1:10" ht="24" customHeight="1" thickTop="1">
      <c r="A16" s="19"/>
      <c r="B16" s="19"/>
      <c r="C16" s="19"/>
      <c r="D16" s="66"/>
      <c r="E16" s="19"/>
      <c r="F16" s="19"/>
      <c r="G16" s="19"/>
      <c r="H16" s="19"/>
      <c r="I16" s="19"/>
      <c r="J16" s="19"/>
    </row>
    <row r="17" spans="1:12" ht="24" customHeight="1" thickBot="1">
      <c r="A17" s="19"/>
      <c r="B17" s="19"/>
      <c r="C17" s="19"/>
      <c r="D17" s="66"/>
      <c r="E17" s="19"/>
      <c r="F17" s="19"/>
      <c r="G17" s="19"/>
      <c r="H17" s="19"/>
      <c r="I17" s="19"/>
      <c r="J17" s="19"/>
    </row>
    <row r="18" spans="1:12" ht="18" customHeight="1" thickBot="1">
      <c r="A18" s="56" t="s">
        <v>73</v>
      </c>
      <c r="B18" s="105" t="s">
        <v>72</v>
      </c>
      <c r="C18" s="106"/>
      <c r="D18" s="65" t="s">
        <v>0</v>
      </c>
      <c r="E18" s="97" t="s">
        <v>111</v>
      </c>
      <c r="H18" s="14"/>
    </row>
    <row r="19" spans="1:12" ht="18" customHeight="1">
      <c r="A19" s="63">
        <v>244409</v>
      </c>
      <c r="B19" s="84" t="s">
        <v>1</v>
      </c>
      <c r="C19" s="87" t="s">
        <v>10</v>
      </c>
      <c r="D19" s="73">
        <v>20</v>
      </c>
      <c r="E19" s="98" t="s">
        <v>112</v>
      </c>
      <c r="H19" s="14"/>
    </row>
    <row r="20" spans="1:12" ht="18" customHeight="1">
      <c r="A20" s="41"/>
      <c r="B20" s="85" t="s">
        <v>1</v>
      </c>
      <c r="C20" s="88" t="s">
        <v>110</v>
      </c>
      <c r="D20" s="73">
        <v>2</v>
      </c>
      <c r="E20" s="99" t="s">
        <v>112</v>
      </c>
      <c r="H20" s="14"/>
    </row>
    <row r="21" spans="1:12" ht="18" customHeight="1">
      <c r="A21" s="41"/>
      <c r="B21" s="85" t="s">
        <v>1</v>
      </c>
      <c r="C21" s="88" t="s">
        <v>10</v>
      </c>
      <c r="D21" s="73">
        <f>30+30</f>
        <v>60</v>
      </c>
      <c r="E21" s="99" t="s">
        <v>113</v>
      </c>
      <c r="H21" s="14"/>
    </row>
    <row r="22" spans="1:12" ht="18" customHeight="1">
      <c r="A22" s="63">
        <v>25294</v>
      </c>
      <c r="B22" s="85" t="s">
        <v>1</v>
      </c>
      <c r="C22" s="88" t="s">
        <v>8</v>
      </c>
      <c r="D22" s="73">
        <v>100</v>
      </c>
      <c r="E22" s="99" t="s">
        <v>116</v>
      </c>
      <c r="H22" s="14"/>
    </row>
    <row r="23" spans="1:12" ht="18" customHeight="1">
      <c r="A23" s="41"/>
      <c r="B23" s="85" t="s">
        <v>1</v>
      </c>
      <c r="C23" s="88" t="s">
        <v>10</v>
      </c>
      <c r="D23" s="73">
        <v>100</v>
      </c>
      <c r="E23" s="99" t="s">
        <v>116</v>
      </c>
      <c r="H23" s="14"/>
    </row>
    <row r="24" spans="1:12" ht="18" customHeight="1">
      <c r="A24" s="41"/>
      <c r="B24" s="85" t="s">
        <v>1</v>
      </c>
      <c r="C24" s="88" t="s">
        <v>15</v>
      </c>
      <c r="D24" s="73">
        <v>100</v>
      </c>
      <c r="E24" s="99" t="s">
        <v>116</v>
      </c>
      <c r="H24" s="14"/>
    </row>
    <row r="25" spans="1:12" ht="18" customHeight="1">
      <c r="A25" s="41"/>
      <c r="B25" s="85"/>
      <c r="C25" s="88"/>
      <c r="D25" s="73"/>
      <c r="E25" s="99"/>
      <c r="H25" s="14"/>
    </row>
    <row r="26" spans="1:12" ht="18" customHeight="1">
      <c r="A26" s="41"/>
      <c r="B26" s="85"/>
      <c r="C26" s="88"/>
      <c r="D26" s="74"/>
      <c r="E26" s="99"/>
      <c r="H26" s="14"/>
    </row>
    <row r="27" spans="1:12" ht="18" customHeight="1">
      <c r="A27" s="41"/>
      <c r="B27" s="85"/>
      <c r="C27" s="88"/>
      <c r="D27" s="74"/>
      <c r="E27" s="99"/>
      <c r="H27" s="14"/>
    </row>
    <row r="28" spans="1:12" ht="18" customHeight="1">
      <c r="A28" s="41"/>
      <c r="B28" s="85"/>
      <c r="C28" s="88"/>
      <c r="D28" s="74"/>
      <c r="E28" s="99"/>
      <c r="F28" s="2"/>
      <c r="G28" s="1"/>
      <c r="H28" s="3"/>
      <c r="I28" s="3"/>
      <c r="J28" s="6"/>
      <c r="K28" s="6"/>
    </row>
    <row r="29" spans="1:12" ht="18" customHeight="1">
      <c r="A29" s="41"/>
      <c r="B29" s="85"/>
      <c r="C29" s="88"/>
      <c r="D29" s="74"/>
      <c r="E29" s="99"/>
      <c r="F29" s="2"/>
      <c r="G29" s="3"/>
      <c r="H29" s="3"/>
      <c r="I29" s="3"/>
      <c r="J29" s="6"/>
      <c r="K29" s="6"/>
      <c r="L29" s="3"/>
    </row>
    <row r="30" spans="1:12" ht="18" customHeight="1">
      <c r="A30" s="41"/>
      <c r="B30" s="85"/>
      <c r="C30" s="88"/>
      <c r="D30" s="74"/>
      <c r="E30" s="99"/>
      <c r="F30" s="2"/>
      <c r="G30" s="3"/>
      <c r="H30" s="3"/>
      <c r="I30" s="3"/>
      <c r="J30" s="6"/>
    </row>
    <row r="31" spans="1:12" ht="17.25" customHeight="1">
      <c r="A31" s="41"/>
      <c r="B31" s="85"/>
      <c r="C31" s="88"/>
      <c r="D31" s="74"/>
      <c r="E31" s="96"/>
      <c r="F31" s="2"/>
      <c r="G31" s="3"/>
      <c r="H31" s="3"/>
      <c r="I31" s="3"/>
      <c r="J31" s="6"/>
    </row>
    <row r="32" spans="1:12" ht="17.25" customHeight="1">
      <c r="A32" s="42"/>
      <c r="B32" s="85"/>
      <c r="C32" s="88"/>
      <c r="D32" s="74"/>
      <c r="E32" s="96"/>
      <c r="F32" s="2"/>
      <c r="G32" s="1"/>
      <c r="H32" s="3"/>
      <c r="I32" s="3"/>
      <c r="J32" s="6"/>
    </row>
    <row r="33" spans="1:10" ht="17.25" customHeight="1">
      <c r="A33" s="42"/>
      <c r="B33" s="85"/>
      <c r="C33" s="88"/>
      <c r="D33" s="75"/>
      <c r="E33" s="99"/>
      <c r="F33" s="2"/>
      <c r="G33" s="1"/>
      <c r="H33" s="3"/>
      <c r="I33" s="3"/>
      <c r="J33" s="6"/>
    </row>
    <row r="34" spans="1:10" ht="17.25" customHeight="1">
      <c r="A34" s="43"/>
      <c r="B34" s="85"/>
      <c r="C34" s="88"/>
      <c r="D34" s="76"/>
      <c r="E34" s="99"/>
      <c r="F34" s="2"/>
      <c r="G34" s="1"/>
      <c r="H34" s="3"/>
      <c r="I34" s="3"/>
      <c r="J34" s="6"/>
    </row>
    <row r="35" spans="1:10" ht="17.25" customHeight="1">
      <c r="A35" s="44" t="s">
        <v>3</v>
      </c>
      <c r="B35" s="85"/>
      <c r="C35" s="88"/>
      <c r="D35" s="76"/>
      <c r="E35" s="99"/>
      <c r="F35" s="2"/>
      <c r="G35" s="1"/>
      <c r="H35" s="3"/>
      <c r="I35" s="3"/>
      <c r="J35" s="6"/>
    </row>
    <row r="36" spans="1:10" ht="17.25" customHeight="1">
      <c r="A36" s="45"/>
      <c r="B36" s="85"/>
      <c r="C36" s="88"/>
      <c r="D36" s="76"/>
      <c r="E36" s="99"/>
      <c r="F36" s="2"/>
      <c r="G36" s="1"/>
      <c r="H36" s="3"/>
      <c r="I36" s="3"/>
      <c r="J36" s="6"/>
    </row>
    <row r="37" spans="1:10" ht="17.25" customHeight="1">
      <c r="A37" s="46"/>
      <c r="B37" s="85"/>
      <c r="C37" s="88"/>
      <c r="D37" s="75"/>
      <c r="E37" s="99"/>
      <c r="F37" s="6"/>
      <c r="G37" s="1"/>
      <c r="H37" s="3"/>
      <c r="I37" s="3"/>
      <c r="J37" s="6"/>
    </row>
    <row r="38" spans="1:10" ht="17.25" customHeight="1">
      <c r="A38" s="46"/>
      <c r="B38" s="85"/>
      <c r="C38" s="88"/>
      <c r="D38" s="75"/>
      <c r="E38" s="99"/>
      <c r="F38" s="2"/>
      <c r="G38" s="1"/>
      <c r="H38" s="3"/>
      <c r="I38" s="3"/>
      <c r="J38" s="6"/>
    </row>
    <row r="39" spans="1:10" ht="17.25" customHeight="1">
      <c r="A39" s="46"/>
      <c r="B39" s="85"/>
      <c r="C39" s="88"/>
      <c r="D39" s="75"/>
      <c r="E39" s="99"/>
      <c r="F39" s="2"/>
      <c r="G39" s="6"/>
      <c r="H39" s="6"/>
      <c r="I39" s="6"/>
      <c r="J39" s="6"/>
    </row>
    <row r="40" spans="1:10" ht="17.25" customHeight="1">
      <c r="A40" s="42"/>
      <c r="B40" s="85"/>
      <c r="C40" s="88"/>
      <c r="D40" s="75"/>
      <c r="E40" s="99"/>
      <c r="F40" s="2"/>
      <c r="G40" s="1"/>
      <c r="H40" s="3"/>
      <c r="I40" s="3"/>
      <c r="J40" s="6"/>
    </row>
    <row r="41" spans="1:10" ht="17.25" customHeight="1">
      <c r="A41" s="47"/>
      <c r="B41" s="85"/>
      <c r="C41" s="88"/>
      <c r="D41" s="75"/>
      <c r="E41" s="100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75"/>
      <c r="E42" s="100"/>
      <c r="F42" s="2"/>
      <c r="G42" s="1"/>
      <c r="H42" s="3"/>
      <c r="I42" s="3"/>
      <c r="J42" s="6"/>
    </row>
    <row r="43" spans="1:10" ht="17.25" customHeight="1">
      <c r="A43" s="47"/>
      <c r="B43" s="85"/>
      <c r="C43" s="88"/>
      <c r="D43" s="75"/>
      <c r="E43" s="100"/>
      <c r="F43" s="2"/>
      <c r="G43" s="1"/>
      <c r="H43" s="3"/>
      <c r="I43" s="3"/>
      <c r="J43" s="6"/>
    </row>
    <row r="44" spans="1:10" ht="17.25" customHeight="1">
      <c r="A44" s="47"/>
      <c r="B44" s="85"/>
      <c r="C44" s="88"/>
      <c r="D44" s="75"/>
      <c r="E44" s="100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75"/>
      <c r="E45" s="100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75"/>
      <c r="E46" s="100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75"/>
      <c r="E47" s="100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75"/>
      <c r="E48" s="100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75"/>
      <c r="E49" s="100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75"/>
      <c r="E50" s="100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75"/>
      <c r="E51" s="100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75"/>
      <c r="E52" s="100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75"/>
      <c r="E53" s="100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75"/>
      <c r="E54" s="100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75"/>
      <c r="E55" s="100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75"/>
      <c r="E56" s="100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75"/>
      <c r="E57" s="100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75"/>
      <c r="E58" s="100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75"/>
      <c r="E59" s="100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75"/>
      <c r="E60" s="100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75"/>
      <c r="E61" s="100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75"/>
      <c r="E62" s="100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75"/>
      <c r="E63" s="100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75"/>
      <c r="E64" s="100"/>
      <c r="F64" s="15"/>
      <c r="G64" s="1"/>
      <c r="H64" s="3"/>
      <c r="I64" s="3"/>
      <c r="J64" s="6"/>
    </row>
    <row r="65" spans="1:10" ht="17.25" customHeight="1">
      <c r="A65" s="47"/>
      <c r="B65" s="85"/>
      <c r="C65" s="88"/>
      <c r="D65" s="75"/>
      <c r="E65" s="100"/>
      <c r="G65" s="1"/>
      <c r="H65" s="3"/>
      <c r="I65" s="3"/>
      <c r="J65" s="6"/>
    </row>
    <row r="66" spans="1:10" ht="17.25" customHeight="1">
      <c r="A66" s="47"/>
      <c r="B66" s="85"/>
      <c r="C66" s="88"/>
      <c r="D66" s="75"/>
      <c r="E66" s="100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75"/>
      <c r="E67" s="100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75"/>
      <c r="E68" s="100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75"/>
      <c r="E69" s="100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75"/>
      <c r="E70" s="100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75"/>
      <c r="E71" s="100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75"/>
      <c r="E72" s="100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75"/>
      <c r="E73" s="100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75"/>
      <c r="E74" s="100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75"/>
      <c r="E75" s="100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75"/>
      <c r="E76" s="100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75"/>
      <c r="E77" s="100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75"/>
      <c r="E78" s="100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75"/>
      <c r="E79" s="100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75"/>
      <c r="E80" s="100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75"/>
      <c r="E81" s="100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75"/>
      <c r="E82" s="100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75"/>
      <c r="E83" s="100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75"/>
      <c r="E84" s="100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75"/>
      <c r="E85" s="100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75"/>
      <c r="E86" s="100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75"/>
      <c r="E87" s="100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75"/>
      <c r="E88" s="100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75"/>
      <c r="E89" s="100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75"/>
      <c r="E90" s="100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75"/>
      <c r="E91" s="100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75"/>
      <c r="E92" s="100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75"/>
      <c r="E93" s="100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75"/>
      <c r="E94" s="100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75"/>
      <c r="E95" s="100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75"/>
      <c r="E96" s="100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75"/>
      <c r="E97" s="100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75"/>
      <c r="E98" s="100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75"/>
      <c r="E99" s="100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75"/>
      <c r="E100" s="100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75"/>
      <c r="E101" s="100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75"/>
      <c r="E102" s="100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75"/>
      <c r="E103" s="100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75"/>
      <c r="E104" s="100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75"/>
      <c r="E105" s="100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75"/>
      <c r="E106" s="100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75"/>
      <c r="E107" s="100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75"/>
      <c r="E108" s="100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75"/>
      <c r="E109" s="100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75"/>
      <c r="E110" s="100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75"/>
      <c r="E111" s="100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75"/>
      <c r="E112" s="100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75"/>
      <c r="E113" s="100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75"/>
      <c r="E114" s="100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75"/>
      <c r="E115" s="100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75"/>
      <c r="E116" s="100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75"/>
      <c r="E117" s="100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75"/>
      <c r="E118" s="100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75"/>
      <c r="E119" s="100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75"/>
      <c r="E120" s="100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75"/>
      <c r="E121" s="100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75"/>
      <c r="E122" s="100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75"/>
      <c r="E123" s="100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75"/>
      <c r="E124" s="100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75"/>
      <c r="E125" s="100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75"/>
      <c r="E126" s="100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75"/>
      <c r="E127" s="100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75"/>
      <c r="E128" s="100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75"/>
      <c r="E129" s="100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75"/>
      <c r="E130" s="100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75"/>
      <c r="E131" s="100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75"/>
      <c r="E132" s="100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75"/>
      <c r="E133" s="100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75"/>
      <c r="E134" s="100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75"/>
      <c r="E135" s="100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75"/>
      <c r="E136" s="100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75"/>
      <c r="E137" s="100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75"/>
      <c r="E138" s="100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75"/>
      <c r="E139" s="100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75"/>
      <c r="E140" s="100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75"/>
      <c r="E141" s="100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75"/>
      <c r="E142" s="100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75"/>
      <c r="E143" s="100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75"/>
      <c r="E144" s="100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75"/>
      <c r="E145" s="100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75"/>
      <c r="E146" s="100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75"/>
      <c r="E147" s="100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75"/>
      <c r="E148" s="100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75"/>
      <c r="E149" s="100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75"/>
      <c r="E150" s="100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75"/>
      <c r="E151" s="100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75"/>
      <c r="E152" s="100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75"/>
      <c r="E153" s="100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75"/>
      <c r="E154" s="100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75"/>
      <c r="E155" s="100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75"/>
      <c r="E156" s="100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75"/>
      <c r="E157" s="100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75"/>
      <c r="E158" s="100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75"/>
      <c r="E159" s="100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75"/>
      <c r="E160" s="100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75"/>
      <c r="E161" s="100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75"/>
      <c r="E162" s="100"/>
      <c r="F162" s="15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75"/>
      <c r="E163" s="100"/>
      <c r="F163" s="2"/>
      <c r="G163" s="1"/>
      <c r="H163" s="3"/>
      <c r="I163" s="3"/>
      <c r="J163" s="6"/>
    </row>
    <row r="164" spans="1:10" ht="17.25" customHeight="1">
      <c r="A164" s="47"/>
      <c r="B164" s="85"/>
      <c r="C164" s="88"/>
      <c r="D164" s="75"/>
      <c r="E164" s="100"/>
      <c r="F164" s="2"/>
      <c r="G164" s="1"/>
      <c r="H164" s="3"/>
      <c r="I164" s="3"/>
      <c r="J164" s="6"/>
    </row>
    <row r="165" spans="1:10" ht="16.5" customHeight="1">
      <c r="A165" s="47"/>
      <c r="B165" s="85"/>
      <c r="C165" s="88"/>
      <c r="D165" s="75"/>
      <c r="E165" s="100"/>
      <c r="F165" s="2"/>
      <c r="G165" s="1"/>
      <c r="H165" s="3"/>
      <c r="I165" s="3"/>
      <c r="J165" s="6"/>
    </row>
    <row r="166" spans="1:10" ht="16.5" customHeight="1">
      <c r="A166" s="47"/>
      <c r="B166" s="85"/>
      <c r="C166" s="88"/>
      <c r="D166" s="75"/>
      <c r="E166" s="100"/>
      <c r="G166" s="1"/>
      <c r="H166" s="3"/>
      <c r="I166" s="3"/>
      <c r="J166" s="6"/>
    </row>
    <row r="167" spans="1:10" ht="16.5" customHeight="1">
      <c r="A167" s="47"/>
      <c r="B167" s="85"/>
      <c r="C167" s="88"/>
      <c r="D167" s="75"/>
      <c r="E167" s="100"/>
      <c r="G167" s="1"/>
      <c r="H167" s="3"/>
      <c r="I167" s="3"/>
      <c r="J167" s="6"/>
    </row>
    <row r="168" spans="1:10" ht="16.5" customHeight="1">
      <c r="A168" s="47"/>
      <c r="B168" s="85"/>
      <c r="C168" s="88"/>
      <c r="D168" s="75"/>
      <c r="E168" s="100"/>
      <c r="F168" s="2"/>
      <c r="G168" s="1"/>
      <c r="H168" s="3"/>
      <c r="I168" s="3"/>
      <c r="J168" s="6"/>
    </row>
    <row r="169" spans="1:10" ht="16.5" customHeight="1">
      <c r="A169" s="47"/>
      <c r="B169" s="85"/>
      <c r="C169" s="88"/>
      <c r="D169" s="75"/>
      <c r="E169" s="100"/>
      <c r="F169" s="2"/>
      <c r="G169" s="1"/>
      <c r="H169" s="3"/>
      <c r="I169" s="3"/>
    </row>
    <row r="170" spans="1:10" ht="17.25" customHeight="1">
      <c r="A170" s="47"/>
      <c r="B170" s="85"/>
      <c r="C170" s="88"/>
      <c r="D170" s="75"/>
      <c r="E170" s="100"/>
      <c r="F170" s="2"/>
      <c r="G170" s="1"/>
      <c r="H170" s="3"/>
      <c r="I170" s="3"/>
      <c r="J170" s="6"/>
    </row>
    <row r="171" spans="1:10" ht="17.25" customHeight="1">
      <c r="A171" s="47"/>
      <c r="B171" s="85"/>
      <c r="C171" s="88"/>
      <c r="D171" s="75"/>
      <c r="E171" s="100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75"/>
      <c r="E172" s="100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75"/>
      <c r="E173" s="100"/>
      <c r="F173" s="2"/>
      <c r="G173" s="1"/>
      <c r="H173" s="3"/>
      <c r="I173" s="3"/>
      <c r="J173" s="6"/>
    </row>
    <row r="174" spans="1:10" ht="18" customHeight="1">
      <c r="A174" s="47"/>
      <c r="B174" s="85"/>
      <c r="C174" s="88"/>
      <c r="D174" s="75"/>
      <c r="E174" s="100"/>
      <c r="F174" s="2"/>
      <c r="G174" s="1"/>
      <c r="H174" s="3"/>
      <c r="I174" s="3"/>
      <c r="J174" s="6"/>
    </row>
    <row r="175" spans="1:10" ht="22.5" customHeight="1">
      <c r="A175" s="47"/>
      <c r="B175" s="85"/>
      <c r="C175" s="88"/>
      <c r="D175" s="75"/>
      <c r="E175" s="100"/>
      <c r="F175" s="2"/>
      <c r="G175" s="1"/>
      <c r="H175" s="3"/>
      <c r="I175" s="3"/>
      <c r="J175" s="6"/>
    </row>
    <row r="176" spans="1:10" ht="18" customHeight="1">
      <c r="A176" s="47"/>
      <c r="B176" s="85"/>
      <c r="C176" s="88"/>
      <c r="D176" s="75"/>
      <c r="E176" s="100"/>
      <c r="G176" s="1"/>
      <c r="H176" s="3"/>
      <c r="I176" s="3"/>
      <c r="J176" s="6"/>
    </row>
    <row r="177" spans="1:10" ht="18" customHeight="1">
      <c r="A177" s="47"/>
      <c r="B177" s="85"/>
      <c r="C177" s="88"/>
      <c r="D177" s="75"/>
      <c r="E177" s="100"/>
      <c r="G177" s="1"/>
      <c r="H177" s="3"/>
      <c r="I177" s="3"/>
      <c r="J177" s="6"/>
    </row>
    <row r="178" spans="1:10" ht="18" customHeight="1">
      <c r="A178" s="47"/>
      <c r="B178" s="85"/>
      <c r="C178" s="88"/>
      <c r="D178" s="75"/>
      <c r="E178" s="100"/>
      <c r="G178" s="1"/>
      <c r="H178" s="3"/>
      <c r="I178" s="3"/>
      <c r="J178" s="6"/>
    </row>
    <row r="179" spans="1:10" ht="18" customHeight="1">
      <c r="A179" s="47"/>
      <c r="B179" s="85"/>
      <c r="C179" s="88"/>
      <c r="D179" s="75"/>
      <c r="E179" s="100"/>
      <c r="G179" s="1"/>
      <c r="H179" s="3"/>
      <c r="I179" s="3"/>
      <c r="J179" s="6"/>
    </row>
    <row r="180" spans="1:10" ht="18" customHeight="1">
      <c r="A180" s="47"/>
      <c r="B180" s="85"/>
      <c r="C180" s="88"/>
      <c r="D180" s="75"/>
      <c r="E180" s="100"/>
      <c r="G180" s="1"/>
      <c r="H180" s="3"/>
      <c r="I180" s="3"/>
      <c r="J180" s="6"/>
    </row>
    <row r="181" spans="1:10" ht="18" customHeight="1">
      <c r="A181" s="47"/>
      <c r="B181" s="85"/>
      <c r="C181" s="88"/>
      <c r="D181" s="75"/>
      <c r="E181" s="100"/>
      <c r="G181" s="1"/>
      <c r="H181" s="3"/>
      <c r="I181" s="3"/>
      <c r="J181" s="6"/>
    </row>
    <row r="182" spans="1:10" ht="18" customHeight="1">
      <c r="A182" s="47"/>
      <c r="B182" s="85"/>
      <c r="C182" s="88"/>
      <c r="D182" s="75"/>
      <c r="E182" s="100"/>
      <c r="G182" s="1"/>
      <c r="H182" s="3"/>
      <c r="I182" s="3"/>
      <c r="J182" s="6"/>
    </row>
    <row r="183" spans="1:10" ht="18" customHeight="1">
      <c r="A183" s="47"/>
      <c r="B183" s="85"/>
      <c r="C183" s="88"/>
      <c r="D183" s="75"/>
      <c r="E183" s="100"/>
      <c r="G183" s="1"/>
      <c r="H183" s="3"/>
      <c r="I183" s="3"/>
      <c r="J183" s="6"/>
    </row>
    <row r="184" spans="1:10" ht="18" customHeight="1">
      <c r="A184" s="47"/>
      <c r="B184" s="85"/>
      <c r="C184" s="88"/>
      <c r="D184" s="75"/>
      <c r="E184" s="100"/>
      <c r="G184" s="1"/>
      <c r="H184" s="3"/>
      <c r="I184" s="3"/>
      <c r="J184" s="6"/>
    </row>
    <row r="185" spans="1:10" ht="18" customHeight="1">
      <c r="A185" s="47"/>
      <c r="B185" s="85"/>
      <c r="C185" s="88"/>
      <c r="D185" s="75"/>
      <c r="E185" s="100"/>
      <c r="G185" s="1"/>
      <c r="H185" s="3"/>
      <c r="I185" s="3"/>
      <c r="J185" s="6"/>
    </row>
    <row r="186" spans="1:10" ht="15" customHeight="1">
      <c r="A186" s="47"/>
      <c r="B186" s="85"/>
      <c r="C186" s="88"/>
      <c r="D186" s="75"/>
      <c r="E186" s="100"/>
      <c r="G186" s="1"/>
      <c r="H186" s="3"/>
      <c r="I186" s="3"/>
      <c r="J186" s="6"/>
    </row>
    <row r="187" spans="1:10" ht="15" customHeight="1">
      <c r="A187" s="47"/>
      <c r="B187" s="85"/>
      <c r="C187" s="88"/>
      <c r="D187" s="75"/>
      <c r="E187" s="100"/>
      <c r="G187" s="1"/>
      <c r="H187" s="3"/>
      <c r="I187" s="3"/>
      <c r="J187" s="6"/>
    </row>
    <row r="188" spans="1:10" ht="15" customHeight="1">
      <c r="A188" s="47"/>
      <c r="B188" s="85"/>
      <c r="C188" s="88"/>
      <c r="D188" s="75"/>
      <c r="E188" s="100"/>
      <c r="G188" s="1"/>
      <c r="H188" s="3"/>
      <c r="I188" s="3"/>
      <c r="J188" s="6"/>
    </row>
    <row r="189" spans="1:10" ht="15" customHeight="1">
      <c r="A189" s="47"/>
      <c r="B189" s="85"/>
      <c r="C189" s="88"/>
      <c r="D189" s="75"/>
      <c r="E189" s="100"/>
      <c r="G189" s="1"/>
      <c r="H189" s="3"/>
      <c r="I189" s="3"/>
      <c r="J189" s="6"/>
    </row>
    <row r="190" spans="1:10" ht="15" customHeight="1">
      <c r="A190" s="47"/>
      <c r="B190" s="85"/>
      <c r="C190" s="88"/>
      <c r="D190" s="75"/>
      <c r="E190" s="100"/>
      <c r="G190" s="1"/>
      <c r="H190" s="3"/>
      <c r="I190" s="3"/>
      <c r="J190" s="6"/>
    </row>
    <row r="191" spans="1:10" ht="15" customHeight="1">
      <c r="A191" s="47"/>
      <c r="B191" s="85"/>
      <c r="C191" s="88"/>
      <c r="D191" s="75"/>
      <c r="E191" s="100"/>
      <c r="G191" s="1"/>
      <c r="H191" s="3"/>
      <c r="I191" s="3"/>
      <c r="J191" s="6"/>
    </row>
    <row r="192" spans="1:10" ht="15" customHeight="1">
      <c r="A192" s="47"/>
      <c r="B192" s="85"/>
      <c r="C192" s="88"/>
      <c r="D192" s="75"/>
      <c r="E192" s="100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75"/>
      <c r="E193" s="100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75"/>
      <c r="E194" s="100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75"/>
      <c r="E195" s="100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75"/>
      <c r="E196" s="100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75"/>
      <c r="E197" s="100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75"/>
      <c r="E198" s="100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75"/>
      <c r="E199" s="100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75"/>
      <c r="E200" s="100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75"/>
      <c r="E201" s="100"/>
      <c r="F201" s="2"/>
      <c r="G201" s="1"/>
      <c r="H201" s="3"/>
      <c r="I201" s="3"/>
      <c r="J201" s="6"/>
    </row>
    <row r="202" spans="1:10" ht="15" customHeight="1">
      <c r="A202" s="47"/>
      <c r="B202" s="85"/>
      <c r="C202" s="88"/>
      <c r="D202" s="75"/>
      <c r="E202" s="100"/>
      <c r="F202" s="2"/>
      <c r="G202" s="1"/>
      <c r="H202" s="3"/>
      <c r="I202" s="3"/>
      <c r="J202" s="6"/>
    </row>
    <row r="203" spans="1:10" ht="18.75" customHeight="1">
      <c r="A203" s="47"/>
      <c r="B203" s="85"/>
      <c r="C203" s="88"/>
      <c r="D203" s="75"/>
      <c r="E203" s="100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75"/>
      <c r="E204" s="100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75"/>
      <c r="E205" s="100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75"/>
      <c r="E206" s="100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75"/>
      <c r="E207" s="100"/>
      <c r="F207" s="2"/>
      <c r="G207" s="1"/>
      <c r="H207" s="3"/>
      <c r="I207" s="3"/>
      <c r="J207" s="6"/>
    </row>
    <row r="208" spans="1:10" ht="15" customHeight="1">
      <c r="A208" s="47"/>
      <c r="B208" s="85"/>
      <c r="C208" s="88"/>
      <c r="D208" s="75"/>
      <c r="E208" s="100"/>
      <c r="F208" s="2"/>
      <c r="G208" s="1"/>
      <c r="H208" s="3"/>
      <c r="I208" s="3"/>
    </row>
    <row r="209" spans="1:9" ht="15" customHeight="1">
      <c r="A209" s="47"/>
      <c r="B209" s="85"/>
      <c r="C209" s="88"/>
      <c r="D209" s="75"/>
      <c r="E209" s="100"/>
      <c r="F209" s="2"/>
      <c r="G209" s="1"/>
      <c r="H209" s="3"/>
      <c r="I209" s="3"/>
    </row>
    <row r="210" spans="1:9" ht="15" customHeight="1">
      <c r="A210" s="47"/>
      <c r="B210" s="85"/>
      <c r="C210" s="88"/>
      <c r="D210" s="75"/>
      <c r="E210" s="100"/>
      <c r="F210" s="2"/>
      <c r="G210" s="1"/>
      <c r="H210" s="3"/>
      <c r="I210" s="3"/>
    </row>
    <row r="211" spans="1:9" ht="15" customHeight="1">
      <c r="A211" s="47"/>
      <c r="B211" s="85"/>
      <c r="C211" s="88"/>
      <c r="D211" s="75"/>
      <c r="E211" s="100"/>
      <c r="F211" s="2"/>
      <c r="G211" s="1"/>
      <c r="H211" s="3"/>
      <c r="I211" s="3"/>
    </row>
    <row r="212" spans="1:9" ht="15" customHeight="1">
      <c r="A212" s="47"/>
      <c r="B212" s="85"/>
      <c r="C212" s="88"/>
      <c r="D212" s="75"/>
      <c r="E212" s="100"/>
    </row>
    <row r="213" spans="1:9" ht="15" customHeight="1">
      <c r="A213" s="47"/>
      <c r="B213" s="85"/>
      <c r="C213" s="88"/>
      <c r="D213" s="75"/>
      <c r="E213" s="100"/>
    </row>
    <row r="214" spans="1:9" ht="15" customHeight="1">
      <c r="A214" s="47"/>
      <c r="B214" s="85"/>
      <c r="C214" s="88"/>
      <c r="D214" s="75"/>
      <c r="E214" s="100"/>
    </row>
    <row r="215" spans="1:9" ht="18" customHeight="1" thickBot="1">
      <c r="A215" s="48"/>
      <c r="B215" s="86"/>
      <c r="C215" s="89"/>
      <c r="D215" s="77"/>
      <c r="E215" s="101"/>
    </row>
    <row r="216" spans="1:9" ht="18" customHeight="1"/>
    <row r="217" spans="1:9" ht="18" customHeight="1"/>
    <row r="218" spans="1:9" ht="18" customHeight="1"/>
    <row r="219" spans="1:9" ht="18" customHeight="1"/>
    <row r="220" spans="1:9" ht="18" customHeight="1"/>
    <row r="221" spans="1:9" ht="18" customHeight="1"/>
  </sheetData>
  <mergeCells count="4">
    <mergeCell ref="A1:J1"/>
    <mergeCell ref="B18:C18"/>
    <mergeCell ref="A5:C5"/>
    <mergeCell ref="C3:D3"/>
  </mergeCells>
  <phoneticPr fontId="2" type="noConversion"/>
  <conditionalFormatting sqref="J28:J65536 J1 J5:J17 E6:E14">
    <cfRule type="cellIs" dxfId="5" priority="3" stopIfTrue="1" operator="lessThan">
      <formula>0</formula>
    </cfRule>
  </conditionalFormatting>
  <conditionalFormatting sqref="J2:J4">
    <cfRule type="cellIs" dxfId="4" priority="2" stopIfTrue="1" operator="lessThan">
      <formula>0</formula>
    </cfRule>
  </conditionalFormatting>
  <conditionalFormatting sqref="E5">
    <cfRule type="cellIs" dxfId="3" priority="1" stopIfTrue="1" operator="lessThan">
      <formula>0</formula>
    </cfRule>
  </conditionalFormatting>
  <dataValidations count="2">
    <dataValidation type="list" allowBlank="1" showInputMessage="1" showErrorMessage="1" sqref="B6:B14" xr:uid="{4A7504BF-9C26-4259-B496-CF4B3EBE6405}">
      <formula1>INDIRECT($A6)</formula1>
    </dataValidation>
    <dataValidation type="list" allowBlank="1" showInputMessage="1" showErrorMessage="1" sqref="C19:C215" xr:uid="{0ABF7601-C5D7-45CD-AFD3-C3BE72691822}">
      <formula1>INDIRECT($B19)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371D-23F1-4D11-BAA9-901A8DB774B3}">
  <sheetPr>
    <tabColor rgb="FF00B0F0"/>
  </sheetPr>
  <dimension ref="A1:L220"/>
  <sheetViews>
    <sheetView zoomScaleNormal="100" workbookViewId="0">
      <selection activeCell="B3" sqref="B3"/>
    </sheetView>
  </sheetViews>
  <sheetFormatPr defaultRowHeight="23.25"/>
  <cols>
    <col min="1" max="1" width="12.7109375" style="14" customWidth="1"/>
    <col min="2" max="2" width="12.140625" style="14" customWidth="1"/>
    <col min="3" max="3" width="14.28515625" style="21" customWidth="1"/>
    <col min="4" max="4" width="14.28515625" style="16" customWidth="1"/>
    <col min="5" max="5" width="11.140625" style="16" customWidth="1"/>
    <col min="6" max="6" width="10.28515625" style="14" customWidth="1"/>
    <col min="7" max="7" width="13.5703125" style="14" customWidth="1"/>
    <col min="8" max="8" width="10.85546875" style="17" customWidth="1"/>
    <col min="9" max="9" width="12.7109375" style="14" customWidth="1"/>
    <col min="10" max="10" width="11.85546875" style="14" customWidth="1"/>
    <col min="11" max="16384" width="9.140625" style="14"/>
  </cols>
  <sheetData>
    <row r="1" spans="1:10" ht="42" customHeight="1">
      <c r="A1" s="108" t="s">
        <v>103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12.75" customHeight="1">
      <c r="A2" s="19"/>
      <c r="B2" s="19"/>
      <c r="C2" s="19"/>
      <c r="D2" s="19"/>
      <c r="E2" s="19"/>
      <c r="F2" s="5"/>
      <c r="G2" s="5"/>
      <c r="H2" s="5"/>
      <c r="I2" s="5"/>
      <c r="J2" s="5"/>
    </row>
    <row r="3" spans="1:10" ht="28.5" customHeight="1">
      <c r="A3" s="58" t="s">
        <v>83</v>
      </c>
      <c r="B3" s="19" t="s">
        <v>101</v>
      </c>
      <c r="C3" s="107" t="s">
        <v>102</v>
      </c>
      <c r="D3" s="107"/>
      <c r="E3" s="19"/>
      <c r="F3" s="19"/>
      <c r="G3" s="19"/>
      <c r="H3" s="19"/>
      <c r="I3" s="19"/>
      <c r="J3" s="19"/>
    </row>
    <row r="4" spans="1:10" s="62" customFormat="1" ht="13.5" customHeight="1" thickBot="1">
      <c r="A4" s="9"/>
      <c r="B4" s="9"/>
      <c r="C4" s="61"/>
      <c r="D4" s="61"/>
      <c r="E4" s="9"/>
      <c r="F4" s="9"/>
      <c r="G4" s="9"/>
      <c r="H4" s="9"/>
      <c r="I4" s="9"/>
      <c r="J4" s="9"/>
    </row>
    <row r="5" spans="1:10" ht="27.75" customHeight="1" thickBot="1">
      <c r="A5" s="103" t="s">
        <v>4</v>
      </c>
      <c r="B5" s="104"/>
      <c r="C5" s="104"/>
      <c r="D5" s="39" t="s">
        <v>5</v>
      </c>
      <c r="E5" s="40" t="s">
        <v>104</v>
      </c>
      <c r="F5" s="19"/>
      <c r="G5" s="19"/>
      <c r="H5" s="19"/>
      <c r="I5" s="19"/>
      <c r="J5" s="19"/>
    </row>
    <row r="6" spans="1:10" ht="27.75" customHeight="1">
      <c r="A6" s="34"/>
      <c r="B6" s="35"/>
      <c r="C6" s="36"/>
      <c r="D6" s="37">
        <f>SUMIF(C18:C214,"13-3-23",D18:D214)</f>
        <v>0</v>
      </c>
      <c r="E6" s="38">
        <f t="shared" ref="E6:E11" si="0">+C6-D6</f>
        <v>0</v>
      </c>
      <c r="F6" s="19"/>
      <c r="G6" s="19"/>
      <c r="H6" s="19"/>
      <c r="I6" s="19"/>
      <c r="J6" s="19"/>
    </row>
    <row r="7" spans="1:10" ht="27.75" customHeight="1">
      <c r="A7" s="34"/>
      <c r="B7" s="20"/>
      <c r="C7" s="4"/>
      <c r="D7" s="13">
        <f>SUMIF(C18:C214,"15-5-25",D18:D214)</f>
        <v>0</v>
      </c>
      <c r="E7" s="27">
        <f t="shared" si="0"/>
        <v>0</v>
      </c>
      <c r="F7" s="19"/>
      <c r="G7" s="19"/>
      <c r="H7" s="19"/>
      <c r="I7" s="19"/>
      <c r="J7" s="19"/>
    </row>
    <row r="8" spans="1:10" ht="27.75" customHeight="1">
      <c r="A8" s="34"/>
      <c r="B8" s="20"/>
      <c r="C8" s="4"/>
      <c r="D8" s="13">
        <f>SUMIF(C18:C214,"15-10-30",D18:D214)</f>
        <v>0</v>
      </c>
      <c r="E8" s="27">
        <f t="shared" si="0"/>
        <v>0</v>
      </c>
      <c r="F8" s="19"/>
      <c r="G8" s="19"/>
      <c r="H8" s="19"/>
      <c r="I8" s="19"/>
      <c r="J8" s="19"/>
    </row>
    <row r="9" spans="1:10" ht="27.75" customHeight="1">
      <c r="A9" s="34"/>
      <c r="B9" s="20"/>
      <c r="C9" s="4"/>
      <c r="D9" s="13">
        <f>SUMIF(C19:C215,"20-5-3",D19:D215)</f>
        <v>0</v>
      </c>
      <c r="E9" s="27">
        <f t="shared" si="0"/>
        <v>0</v>
      </c>
      <c r="F9" s="19"/>
      <c r="G9" s="19"/>
      <c r="H9" s="19"/>
      <c r="I9" s="19"/>
      <c r="J9" s="19"/>
    </row>
    <row r="10" spans="1:10" ht="27.75" customHeight="1">
      <c r="A10" s="34"/>
      <c r="B10" s="20"/>
      <c r="C10" s="4"/>
      <c r="D10" s="13">
        <f>SUMIF(C20:C216,"20-8-8",D20:D216)</f>
        <v>0</v>
      </c>
      <c r="E10" s="27">
        <f t="shared" si="0"/>
        <v>0</v>
      </c>
      <c r="F10" s="19"/>
      <c r="G10" s="19"/>
      <c r="H10" s="19"/>
      <c r="I10" s="19"/>
      <c r="J10" s="19"/>
    </row>
    <row r="11" spans="1:10" ht="27.75" customHeight="1">
      <c r="A11" s="34"/>
      <c r="B11" s="20"/>
      <c r="C11" s="4"/>
      <c r="D11" s="13">
        <f>SUMIF($C$18:C216,"เสื้อยืดแขนยาว",$D$18:D216)</f>
        <v>0</v>
      </c>
      <c r="E11" s="27">
        <f t="shared" si="0"/>
        <v>0</v>
      </c>
      <c r="F11" s="19"/>
      <c r="G11" s="19"/>
      <c r="H11" s="19"/>
      <c r="I11" s="19"/>
      <c r="J11" s="19"/>
    </row>
    <row r="12" spans="1:10" ht="27.75" customHeight="1">
      <c r="A12" s="26"/>
      <c r="B12" s="20"/>
      <c r="C12" s="4"/>
      <c r="D12" s="13"/>
      <c r="E12" s="28"/>
      <c r="F12" s="19"/>
      <c r="G12" s="19"/>
      <c r="H12" s="19"/>
      <c r="I12" s="19"/>
      <c r="J12" s="19"/>
    </row>
    <row r="13" spans="1:10" ht="27.75" customHeight="1" thickBot="1">
      <c r="A13" s="29"/>
      <c r="B13" s="30"/>
      <c r="C13" s="31"/>
      <c r="D13" s="32"/>
      <c r="E13" s="33"/>
      <c r="F13" s="19"/>
      <c r="G13" s="19"/>
      <c r="H13" s="19"/>
      <c r="I13" s="19"/>
      <c r="J13" s="19"/>
    </row>
    <row r="14" spans="1:10" s="83" customFormat="1" ht="27.75" customHeight="1" thickBot="1">
      <c r="A14" s="82"/>
      <c r="B14" s="5"/>
      <c r="C14" s="80">
        <f>SUM(C6:C13)</f>
        <v>0</v>
      </c>
      <c r="D14" s="80">
        <f>SUM(D6:D13)</f>
        <v>0</v>
      </c>
      <c r="E14" s="80">
        <f>SUM(E6:E13)</f>
        <v>0</v>
      </c>
      <c r="F14" s="19"/>
      <c r="G14" s="19"/>
      <c r="H14" s="19"/>
      <c r="I14" s="19"/>
      <c r="J14" s="19"/>
    </row>
    <row r="15" spans="1:10" ht="24" customHeight="1" thickTop="1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24" customHeight="1" thickBot="1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12" ht="18" customHeight="1" thickBot="1">
      <c r="A17" s="56" t="s">
        <v>73</v>
      </c>
      <c r="B17" s="105" t="s">
        <v>72</v>
      </c>
      <c r="C17" s="106"/>
      <c r="D17" s="57" t="s">
        <v>0</v>
      </c>
      <c r="E17" s="10"/>
      <c r="H17" s="14"/>
    </row>
    <row r="18" spans="1:12" ht="18" customHeight="1">
      <c r="A18" s="41"/>
      <c r="B18" s="84"/>
      <c r="C18" s="87"/>
      <c r="D18" s="49"/>
      <c r="E18" s="2"/>
      <c r="H18" s="14"/>
    </row>
    <row r="19" spans="1:12" ht="18" customHeight="1">
      <c r="A19" s="41"/>
      <c r="B19" s="85"/>
      <c r="C19" s="88"/>
      <c r="D19" s="49"/>
      <c r="E19" s="2"/>
      <c r="H19" s="14"/>
    </row>
    <row r="20" spans="1:12" ht="18" customHeight="1">
      <c r="A20" s="41"/>
      <c r="B20" s="85"/>
      <c r="C20" s="88"/>
      <c r="D20" s="49"/>
      <c r="E20" s="2"/>
      <c r="H20" s="14"/>
    </row>
    <row r="21" spans="1:12" ht="18" customHeight="1">
      <c r="A21" s="41"/>
      <c r="B21" s="85"/>
      <c r="C21" s="88"/>
      <c r="D21" s="49"/>
      <c r="E21" s="2"/>
      <c r="H21" s="14"/>
    </row>
    <row r="22" spans="1:12" ht="18" customHeight="1">
      <c r="A22" s="41"/>
      <c r="B22" s="85"/>
      <c r="C22" s="88"/>
      <c r="D22" s="49"/>
      <c r="E22" s="2"/>
      <c r="H22" s="14"/>
    </row>
    <row r="23" spans="1:12" ht="18" customHeight="1">
      <c r="A23" s="41"/>
      <c r="B23" s="85"/>
      <c r="C23" s="88"/>
      <c r="D23" s="49"/>
      <c r="E23" s="2"/>
      <c r="H23" s="14"/>
    </row>
    <row r="24" spans="1:12" ht="18" customHeight="1">
      <c r="A24" s="41"/>
      <c r="B24" s="85"/>
      <c r="C24" s="88"/>
      <c r="D24" s="49"/>
      <c r="E24" s="2"/>
      <c r="H24" s="14"/>
    </row>
    <row r="25" spans="1:12" ht="18" customHeight="1">
      <c r="A25" s="41"/>
      <c r="B25" s="85"/>
      <c r="C25" s="88"/>
      <c r="D25" s="50"/>
      <c r="E25" s="2"/>
      <c r="H25" s="14"/>
    </row>
    <row r="26" spans="1:12" ht="18" customHeight="1">
      <c r="A26" s="41"/>
      <c r="B26" s="85"/>
      <c r="C26" s="88"/>
      <c r="D26" s="50"/>
      <c r="E26" s="2"/>
      <c r="H26" s="14"/>
    </row>
    <row r="27" spans="1:12" ht="18" customHeight="1">
      <c r="A27" s="41"/>
      <c r="B27" s="85"/>
      <c r="C27" s="88"/>
      <c r="D27" s="50"/>
      <c r="E27" s="2"/>
      <c r="F27" s="2"/>
      <c r="G27" s="1"/>
      <c r="H27" s="3"/>
      <c r="I27" s="3"/>
      <c r="J27" s="6"/>
      <c r="K27" s="6"/>
    </row>
    <row r="28" spans="1:12" ht="18" customHeight="1">
      <c r="A28" s="41"/>
      <c r="B28" s="85"/>
      <c r="C28" s="88"/>
      <c r="D28" s="50"/>
      <c r="E28" s="2"/>
      <c r="F28" s="2"/>
      <c r="G28" s="3"/>
      <c r="H28" s="3"/>
      <c r="I28" s="3"/>
      <c r="J28" s="6"/>
      <c r="K28" s="6"/>
      <c r="L28" s="3"/>
    </row>
    <row r="29" spans="1:12" ht="18" customHeight="1">
      <c r="A29" s="41"/>
      <c r="B29" s="85"/>
      <c r="C29" s="88"/>
      <c r="D29" s="50"/>
      <c r="E29" s="2"/>
      <c r="F29" s="2"/>
      <c r="G29" s="3"/>
      <c r="H29" s="3"/>
      <c r="I29" s="3"/>
      <c r="J29" s="6"/>
    </row>
    <row r="30" spans="1:12" ht="17.25" customHeight="1">
      <c r="A30" s="41"/>
      <c r="B30" s="85"/>
      <c r="C30" s="88"/>
      <c r="D30" s="50"/>
      <c r="E30" s="11"/>
      <c r="F30" s="2"/>
      <c r="G30" s="3"/>
      <c r="H30" s="3"/>
      <c r="I30" s="3"/>
      <c r="J30" s="6"/>
    </row>
    <row r="31" spans="1:12" ht="17.25" customHeight="1">
      <c r="A31" s="42"/>
      <c r="B31" s="85"/>
      <c r="C31" s="88"/>
      <c r="D31" s="50"/>
      <c r="E31" s="11"/>
      <c r="F31" s="2"/>
      <c r="G31" s="1"/>
      <c r="H31" s="3"/>
      <c r="I31" s="3"/>
      <c r="J31" s="6"/>
    </row>
    <row r="32" spans="1:12" ht="17.25" customHeight="1">
      <c r="A32" s="42"/>
      <c r="B32" s="85"/>
      <c r="C32" s="88"/>
      <c r="D32" s="51"/>
      <c r="E32" s="2"/>
      <c r="F32" s="2"/>
      <c r="G32" s="1"/>
      <c r="H32" s="3"/>
      <c r="I32" s="3"/>
      <c r="J32" s="6"/>
    </row>
    <row r="33" spans="1:10" ht="17.25" customHeight="1">
      <c r="A33" s="43"/>
      <c r="B33" s="85"/>
      <c r="C33" s="88"/>
      <c r="D33" s="52"/>
      <c r="E33" s="2"/>
      <c r="F33" s="2"/>
      <c r="G33" s="1"/>
      <c r="H33" s="3"/>
      <c r="I33" s="3"/>
      <c r="J33" s="6"/>
    </row>
    <row r="34" spans="1:10" ht="17.25" customHeight="1">
      <c r="A34" s="44" t="s">
        <v>3</v>
      </c>
      <c r="B34" s="85"/>
      <c r="C34" s="88"/>
      <c r="D34" s="53"/>
      <c r="E34" s="2"/>
      <c r="F34" s="2"/>
      <c r="G34" s="1"/>
      <c r="H34" s="3"/>
      <c r="I34" s="3"/>
      <c r="J34" s="6"/>
    </row>
    <row r="35" spans="1:10" ht="17.25" customHeight="1">
      <c r="A35" s="45"/>
      <c r="B35" s="85"/>
      <c r="C35" s="88"/>
      <c r="D35" s="54"/>
      <c r="E35" s="2"/>
      <c r="F35" s="2"/>
      <c r="G35" s="1"/>
      <c r="H35" s="3"/>
      <c r="I35" s="3"/>
      <c r="J35" s="6"/>
    </row>
    <row r="36" spans="1:10" ht="17.25" customHeight="1">
      <c r="A36" s="46"/>
      <c r="B36" s="85"/>
      <c r="C36" s="88"/>
      <c r="D36" s="51"/>
      <c r="E36" s="2"/>
      <c r="F36" s="6"/>
      <c r="G36" s="1"/>
      <c r="H36" s="3"/>
      <c r="I36" s="3"/>
      <c r="J36" s="6"/>
    </row>
    <row r="37" spans="1:10" ht="17.25" customHeight="1">
      <c r="A37" s="46"/>
      <c r="B37" s="85"/>
      <c r="C37" s="88"/>
      <c r="D37" s="51"/>
      <c r="E37" s="2"/>
      <c r="F37" s="2"/>
      <c r="G37" s="1"/>
      <c r="H37" s="3"/>
      <c r="I37" s="3"/>
      <c r="J37" s="6"/>
    </row>
    <row r="38" spans="1:10" ht="17.25" customHeight="1">
      <c r="A38" s="46"/>
      <c r="B38" s="85"/>
      <c r="C38" s="88"/>
      <c r="D38" s="51"/>
      <c r="E38" s="2"/>
      <c r="F38" s="2"/>
      <c r="G38" s="6"/>
      <c r="H38" s="6"/>
      <c r="I38" s="6"/>
      <c r="J38" s="6"/>
    </row>
    <row r="39" spans="1:10" ht="17.25" customHeight="1">
      <c r="A39" s="42"/>
      <c r="B39" s="85"/>
      <c r="C39" s="88"/>
      <c r="D39" s="51"/>
      <c r="E39" s="2"/>
      <c r="F39" s="2"/>
      <c r="G39" s="1"/>
      <c r="H39" s="3"/>
      <c r="I39" s="3"/>
      <c r="J39" s="6"/>
    </row>
    <row r="40" spans="1:10" ht="17.25" customHeight="1">
      <c r="A40" s="47"/>
      <c r="B40" s="85"/>
      <c r="C40" s="88"/>
      <c r="D40" s="51"/>
      <c r="F40" s="2"/>
      <c r="G40" s="1"/>
      <c r="H40" s="3"/>
      <c r="I40" s="3"/>
      <c r="J40" s="6"/>
    </row>
    <row r="41" spans="1:10" ht="17.25" customHeight="1">
      <c r="A41" s="47"/>
      <c r="B41" s="85"/>
      <c r="C41" s="88"/>
      <c r="D41" s="51"/>
      <c r="F41" s="2"/>
      <c r="G41" s="1"/>
      <c r="H41" s="3"/>
      <c r="I41" s="3"/>
      <c r="J41" s="6"/>
    </row>
    <row r="42" spans="1:10" ht="17.25" customHeight="1">
      <c r="A42" s="47"/>
      <c r="B42" s="85"/>
      <c r="C42" s="88"/>
      <c r="D42" s="51"/>
      <c r="F42" s="2"/>
      <c r="G42" s="1"/>
      <c r="H42" s="3"/>
      <c r="I42" s="3"/>
      <c r="J42" s="6"/>
    </row>
    <row r="43" spans="1:10" ht="17.25" customHeight="1">
      <c r="A43" s="47"/>
      <c r="B43" s="85"/>
      <c r="C43" s="88"/>
      <c r="D43" s="51"/>
      <c r="F43" s="15"/>
      <c r="G43" s="1"/>
      <c r="H43" s="3"/>
      <c r="I43" s="3"/>
      <c r="J43" s="6"/>
    </row>
    <row r="44" spans="1:10" ht="17.25" customHeight="1">
      <c r="A44" s="47"/>
      <c r="B44" s="85"/>
      <c r="C44" s="88"/>
      <c r="D44" s="51"/>
      <c r="F44" s="15"/>
      <c r="G44" s="1"/>
      <c r="H44" s="3"/>
      <c r="I44" s="3"/>
      <c r="J44" s="6"/>
    </row>
    <row r="45" spans="1:10" ht="17.25" customHeight="1">
      <c r="A45" s="47"/>
      <c r="B45" s="85"/>
      <c r="C45" s="88"/>
      <c r="D45" s="51"/>
      <c r="F45" s="15"/>
      <c r="G45" s="1"/>
      <c r="H45" s="3"/>
      <c r="I45" s="3"/>
      <c r="J45" s="6"/>
    </row>
    <row r="46" spans="1:10" ht="17.25" customHeight="1">
      <c r="A46" s="47"/>
      <c r="B46" s="85"/>
      <c r="C46" s="88"/>
      <c r="D46" s="51"/>
      <c r="F46" s="15"/>
      <c r="G46" s="1"/>
      <c r="H46" s="3"/>
      <c r="I46" s="3"/>
      <c r="J46" s="6"/>
    </row>
    <row r="47" spans="1:10" ht="17.25" customHeight="1">
      <c r="A47" s="47"/>
      <c r="B47" s="85"/>
      <c r="C47" s="88"/>
      <c r="D47" s="51"/>
      <c r="F47" s="15"/>
      <c r="G47" s="1"/>
      <c r="H47" s="3"/>
      <c r="I47" s="3"/>
      <c r="J47" s="6"/>
    </row>
    <row r="48" spans="1:10" ht="17.25" customHeight="1">
      <c r="A48" s="47"/>
      <c r="B48" s="85"/>
      <c r="C48" s="88"/>
      <c r="D48" s="51"/>
      <c r="F48" s="15"/>
      <c r="G48" s="1"/>
      <c r="H48" s="3"/>
      <c r="I48" s="3"/>
      <c r="J48" s="6"/>
    </row>
    <row r="49" spans="1:10" ht="17.25" customHeight="1">
      <c r="A49" s="47"/>
      <c r="B49" s="85"/>
      <c r="C49" s="88"/>
      <c r="D49" s="51"/>
      <c r="F49" s="15"/>
      <c r="G49" s="1"/>
      <c r="H49" s="3"/>
      <c r="I49" s="3"/>
      <c r="J49" s="6"/>
    </row>
    <row r="50" spans="1:10" ht="17.25" customHeight="1">
      <c r="A50" s="47"/>
      <c r="B50" s="85"/>
      <c r="C50" s="88"/>
      <c r="D50" s="51"/>
      <c r="F50" s="15"/>
      <c r="G50" s="1"/>
      <c r="H50" s="3"/>
      <c r="I50" s="3"/>
      <c r="J50" s="6"/>
    </row>
    <row r="51" spans="1:10" ht="17.25" customHeight="1">
      <c r="A51" s="47"/>
      <c r="B51" s="85"/>
      <c r="C51" s="88"/>
      <c r="D51" s="51"/>
      <c r="F51" s="15"/>
      <c r="G51" s="1"/>
      <c r="H51" s="3"/>
      <c r="I51" s="3"/>
      <c r="J51" s="6"/>
    </row>
    <row r="52" spans="1:10" ht="17.25" customHeight="1">
      <c r="A52" s="47"/>
      <c r="B52" s="85"/>
      <c r="C52" s="88"/>
      <c r="D52" s="51"/>
      <c r="F52" s="15"/>
      <c r="G52" s="1"/>
      <c r="H52" s="3"/>
      <c r="I52" s="3"/>
      <c r="J52" s="6"/>
    </row>
    <row r="53" spans="1:10" ht="17.25" customHeight="1">
      <c r="A53" s="47"/>
      <c r="B53" s="85"/>
      <c r="C53" s="88"/>
      <c r="D53" s="51"/>
      <c r="F53" s="15"/>
      <c r="G53" s="1"/>
      <c r="H53" s="3"/>
      <c r="I53" s="3"/>
      <c r="J53" s="6"/>
    </row>
    <row r="54" spans="1:10" ht="17.25" customHeight="1">
      <c r="A54" s="47"/>
      <c r="B54" s="85"/>
      <c r="C54" s="88"/>
      <c r="D54" s="51"/>
      <c r="F54" s="15"/>
      <c r="G54" s="1"/>
      <c r="H54" s="3"/>
      <c r="I54" s="3"/>
      <c r="J54" s="6"/>
    </row>
    <row r="55" spans="1:10" ht="17.25" customHeight="1">
      <c r="A55" s="47"/>
      <c r="B55" s="85"/>
      <c r="C55" s="88"/>
      <c r="D55" s="51"/>
      <c r="F55" s="15"/>
      <c r="G55" s="1"/>
      <c r="H55" s="3"/>
      <c r="I55" s="3"/>
      <c r="J55" s="6"/>
    </row>
    <row r="56" spans="1:10" ht="17.25" customHeight="1">
      <c r="A56" s="47"/>
      <c r="B56" s="85"/>
      <c r="C56" s="88"/>
      <c r="D56" s="51"/>
      <c r="F56" s="15"/>
      <c r="G56" s="1"/>
      <c r="H56" s="3"/>
      <c r="I56" s="3"/>
      <c r="J56" s="6"/>
    </row>
    <row r="57" spans="1:10" ht="17.25" customHeight="1">
      <c r="A57" s="47"/>
      <c r="B57" s="85"/>
      <c r="C57" s="88"/>
      <c r="D57" s="51"/>
      <c r="F57" s="15"/>
      <c r="G57" s="1"/>
      <c r="H57" s="3"/>
      <c r="I57" s="3"/>
      <c r="J57" s="6"/>
    </row>
    <row r="58" spans="1:10" ht="17.25" customHeight="1">
      <c r="A58" s="47"/>
      <c r="B58" s="85"/>
      <c r="C58" s="88"/>
      <c r="D58" s="51"/>
      <c r="F58" s="15"/>
      <c r="G58" s="1"/>
      <c r="H58" s="3"/>
      <c r="I58" s="3"/>
      <c r="J58" s="6"/>
    </row>
    <row r="59" spans="1:10" ht="17.25" customHeight="1">
      <c r="A59" s="47"/>
      <c r="B59" s="85"/>
      <c r="C59" s="88"/>
      <c r="D59" s="51"/>
      <c r="F59" s="15"/>
      <c r="G59" s="1"/>
      <c r="H59" s="3"/>
      <c r="I59" s="3"/>
      <c r="J59" s="6"/>
    </row>
    <row r="60" spans="1:10" ht="17.25" customHeight="1">
      <c r="A60" s="47"/>
      <c r="B60" s="85"/>
      <c r="C60" s="88"/>
      <c r="D60" s="51"/>
      <c r="F60" s="15"/>
      <c r="G60" s="1"/>
      <c r="H60" s="3"/>
      <c r="I60" s="3"/>
      <c r="J60" s="6"/>
    </row>
    <row r="61" spans="1:10" ht="17.25" customHeight="1">
      <c r="A61" s="47"/>
      <c r="B61" s="85"/>
      <c r="C61" s="88"/>
      <c r="D61" s="51"/>
      <c r="F61" s="15"/>
      <c r="G61" s="1"/>
      <c r="H61" s="3"/>
      <c r="I61" s="3"/>
      <c r="J61" s="6"/>
    </row>
    <row r="62" spans="1:10" ht="17.25" customHeight="1">
      <c r="A62" s="47"/>
      <c r="B62" s="85"/>
      <c r="C62" s="88"/>
      <c r="D62" s="51"/>
      <c r="F62" s="15"/>
      <c r="G62" s="1"/>
      <c r="H62" s="3"/>
      <c r="I62" s="3"/>
      <c r="J62" s="6"/>
    </row>
    <row r="63" spans="1:10" ht="17.25" customHeight="1">
      <c r="A63" s="47"/>
      <c r="B63" s="85"/>
      <c r="C63" s="88"/>
      <c r="D63" s="51"/>
      <c r="F63" s="15"/>
      <c r="G63" s="1"/>
      <c r="H63" s="3"/>
      <c r="I63" s="3"/>
      <c r="J63" s="6"/>
    </row>
    <row r="64" spans="1:10" ht="17.25" customHeight="1">
      <c r="A64" s="47"/>
      <c r="B64" s="85"/>
      <c r="C64" s="88"/>
      <c r="D64" s="51"/>
      <c r="G64" s="1"/>
      <c r="H64" s="3"/>
      <c r="I64" s="3"/>
      <c r="J64" s="6"/>
    </row>
    <row r="65" spans="1:10" ht="17.25" customHeight="1">
      <c r="A65" s="47"/>
      <c r="B65" s="85"/>
      <c r="C65" s="88"/>
      <c r="D65" s="51"/>
      <c r="F65" s="15"/>
      <c r="G65" s="1"/>
      <c r="H65" s="3"/>
      <c r="I65" s="3"/>
      <c r="J65" s="6"/>
    </row>
    <row r="66" spans="1:10" ht="17.25" customHeight="1">
      <c r="A66" s="47"/>
      <c r="B66" s="85"/>
      <c r="C66" s="88"/>
      <c r="D66" s="51"/>
      <c r="F66" s="15"/>
      <c r="G66" s="1"/>
      <c r="H66" s="3"/>
      <c r="I66" s="3"/>
      <c r="J66" s="6"/>
    </row>
    <row r="67" spans="1:10" ht="17.25" customHeight="1">
      <c r="A67" s="47"/>
      <c r="B67" s="85"/>
      <c r="C67" s="88"/>
      <c r="D67" s="51"/>
      <c r="F67" s="15"/>
      <c r="G67" s="1"/>
      <c r="H67" s="3"/>
      <c r="I67" s="3"/>
      <c r="J67" s="6"/>
    </row>
    <row r="68" spans="1:10" ht="17.25" customHeight="1">
      <c r="A68" s="47"/>
      <c r="B68" s="85"/>
      <c r="C68" s="88"/>
      <c r="D68" s="51"/>
      <c r="F68" s="15"/>
      <c r="G68" s="1"/>
      <c r="H68" s="3"/>
      <c r="I68" s="3"/>
      <c r="J68" s="6"/>
    </row>
    <row r="69" spans="1:10" ht="17.25" customHeight="1">
      <c r="A69" s="47"/>
      <c r="B69" s="85"/>
      <c r="C69" s="88"/>
      <c r="D69" s="51"/>
      <c r="F69" s="15"/>
      <c r="G69" s="1"/>
      <c r="H69" s="3"/>
      <c r="I69" s="3"/>
      <c r="J69" s="6"/>
    </row>
    <row r="70" spans="1:10" ht="17.25" customHeight="1">
      <c r="A70" s="47"/>
      <c r="B70" s="85"/>
      <c r="C70" s="88"/>
      <c r="D70" s="51"/>
      <c r="F70" s="15"/>
      <c r="G70" s="1"/>
      <c r="H70" s="3"/>
      <c r="I70" s="3"/>
      <c r="J70" s="6"/>
    </row>
    <row r="71" spans="1:10" ht="17.25" customHeight="1">
      <c r="A71" s="47"/>
      <c r="B71" s="85"/>
      <c r="C71" s="88"/>
      <c r="D71" s="51"/>
      <c r="F71" s="15"/>
      <c r="G71" s="1"/>
      <c r="H71" s="3"/>
      <c r="I71" s="3"/>
      <c r="J71" s="6"/>
    </row>
    <row r="72" spans="1:10" ht="17.25" customHeight="1">
      <c r="A72" s="47"/>
      <c r="B72" s="85"/>
      <c r="C72" s="88"/>
      <c r="D72" s="51"/>
      <c r="F72" s="15"/>
      <c r="G72" s="1"/>
      <c r="H72" s="3"/>
      <c r="I72" s="3"/>
      <c r="J72" s="6"/>
    </row>
    <row r="73" spans="1:10" ht="17.25" customHeight="1">
      <c r="A73" s="47"/>
      <c r="B73" s="85"/>
      <c r="C73" s="88"/>
      <c r="D73" s="51"/>
      <c r="F73" s="15"/>
      <c r="G73" s="1"/>
      <c r="H73" s="3"/>
      <c r="I73" s="3"/>
      <c r="J73" s="6"/>
    </row>
    <row r="74" spans="1:10" ht="17.25" customHeight="1">
      <c r="A74" s="47"/>
      <c r="B74" s="85"/>
      <c r="C74" s="88"/>
      <c r="D74" s="51"/>
      <c r="F74" s="15"/>
      <c r="G74" s="1"/>
      <c r="H74" s="3"/>
      <c r="I74" s="3"/>
      <c r="J74" s="6"/>
    </row>
    <row r="75" spans="1:10" ht="17.25" customHeight="1">
      <c r="A75" s="47"/>
      <c r="B75" s="85"/>
      <c r="C75" s="88"/>
      <c r="D75" s="51"/>
      <c r="F75" s="15"/>
      <c r="G75" s="1"/>
      <c r="H75" s="3"/>
      <c r="I75" s="3"/>
      <c r="J75" s="6"/>
    </row>
    <row r="76" spans="1:10" ht="17.25" customHeight="1">
      <c r="A76" s="47"/>
      <c r="B76" s="85"/>
      <c r="C76" s="88"/>
      <c r="D76" s="51"/>
      <c r="F76" s="15"/>
      <c r="G76" s="1"/>
      <c r="H76" s="3"/>
      <c r="I76" s="3"/>
      <c r="J76" s="6"/>
    </row>
    <row r="77" spans="1:10" ht="17.25" customHeight="1">
      <c r="A77" s="47"/>
      <c r="B77" s="85"/>
      <c r="C77" s="88"/>
      <c r="D77" s="51"/>
      <c r="F77" s="15"/>
      <c r="G77" s="1"/>
      <c r="H77" s="3"/>
      <c r="I77" s="3"/>
      <c r="J77" s="6"/>
    </row>
    <row r="78" spans="1:10" ht="17.25" customHeight="1">
      <c r="A78" s="47"/>
      <c r="B78" s="85"/>
      <c r="C78" s="88"/>
      <c r="D78" s="51"/>
      <c r="F78" s="15"/>
      <c r="G78" s="1"/>
      <c r="H78" s="3"/>
      <c r="I78" s="3"/>
      <c r="J78" s="6"/>
    </row>
    <row r="79" spans="1:10" ht="17.25" customHeight="1">
      <c r="A79" s="47"/>
      <c r="B79" s="85"/>
      <c r="C79" s="88"/>
      <c r="D79" s="51"/>
      <c r="F79" s="15"/>
      <c r="G79" s="1"/>
      <c r="H79" s="3"/>
      <c r="I79" s="3"/>
      <c r="J79" s="6"/>
    </row>
    <row r="80" spans="1:10" ht="17.25" customHeight="1">
      <c r="A80" s="47"/>
      <c r="B80" s="85"/>
      <c r="C80" s="88"/>
      <c r="D80" s="51"/>
      <c r="F80" s="15"/>
      <c r="G80" s="1"/>
      <c r="H80" s="3"/>
      <c r="I80" s="3"/>
      <c r="J80" s="6"/>
    </row>
    <row r="81" spans="1:10" ht="17.25" customHeight="1">
      <c r="A81" s="47"/>
      <c r="B81" s="85"/>
      <c r="C81" s="88"/>
      <c r="D81" s="51"/>
      <c r="F81" s="15"/>
      <c r="G81" s="1"/>
      <c r="H81" s="3"/>
      <c r="I81" s="3"/>
      <c r="J81" s="6"/>
    </row>
    <row r="82" spans="1:10" ht="17.25" customHeight="1">
      <c r="A82" s="47"/>
      <c r="B82" s="85"/>
      <c r="C82" s="88"/>
      <c r="D82" s="51"/>
      <c r="F82" s="15"/>
      <c r="G82" s="1"/>
      <c r="H82" s="3"/>
      <c r="I82" s="3"/>
      <c r="J82" s="6"/>
    </row>
    <row r="83" spans="1:10" ht="17.25" customHeight="1">
      <c r="A83" s="47"/>
      <c r="B83" s="85"/>
      <c r="C83" s="88"/>
      <c r="D83" s="51"/>
      <c r="F83" s="15"/>
      <c r="G83" s="1"/>
      <c r="H83" s="3"/>
      <c r="I83" s="3"/>
      <c r="J83" s="6"/>
    </row>
    <row r="84" spans="1:10" ht="17.25" customHeight="1">
      <c r="A84" s="47"/>
      <c r="B84" s="85"/>
      <c r="C84" s="88"/>
      <c r="D84" s="51"/>
      <c r="F84" s="15"/>
      <c r="G84" s="1"/>
      <c r="H84" s="3"/>
      <c r="I84" s="3"/>
      <c r="J84" s="6"/>
    </row>
    <row r="85" spans="1:10" ht="17.25" customHeight="1">
      <c r="A85" s="47"/>
      <c r="B85" s="85"/>
      <c r="C85" s="88"/>
      <c r="D85" s="51"/>
      <c r="F85" s="15"/>
      <c r="G85" s="1"/>
      <c r="H85" s="3"/>
      <c r="I85" s="3"/>
      <c r="J85" s="6"/>
    </row>
    <row r="86" spans="1:10" ht="17.25" customHeight="1">
      <c r="A86" s="47"/>
      <c r="B86" s="85"/>
      <c r="C86" s="88"/>
      <c r="D86" s="51"/>
      <c r="F86" s="15"/>
      <c r="G86" s="1"/>
      <c r="H86" s="3"/>
      <c r="I86" s="3"/>
      <c r="J86" s="6"/>
    </row>
    <row r="87" spans="1:10" ht="17.25" customHeight="1">
      <c r="A87" s="47"/>
      <c r="B87" s="85"/>
      <c r="C87" s="88"/>
      <c r="D87" s="51"/>
      <c r="F87" s="15"/>
      <c r="G87" s="1"/>
      <c r="H87" s="3"/>
      <c r="I87" s="3"/>
      <c r="J87" s="6"/>
    </row>
    <row r="88" spans="1:10" ht="17.25" customHeight="1">
      <c r="A88" s="47"/>
      <c r="B88" s="85"/>
      <c r="C88" s="88"/>
      <c r="D88" s="51"/>
      <c r="F88" s="15"/>
      <c r="G88" s="1"/>
      <c r="H88" s="3"/>
      <c r="I88" s="3"/>
      <c r="J88" s="6"/>
    </row>
    <row r="89" spans="1:10" ht="17.25" customHeight="1">
      <c r="A89" s="47"/>
      <c r="B89" s="85"/>
      <c r="C89" s="88"/>
      <c r="D89" s="51"/>
      <c r="F89" s="15"/>
      <c r="G89" s="1"/>
      <c r="H89" s="3"/>
      <c r="I89" s="3"/>
      <c r="J89" s="6"/>
    </row>
    <row r="90" spans="1:10" ht="17.25" customHeight="1">
      <c r="A90" s="47"/>
      <c r="B90" s="85"/>
      <c r="C90" s="88"/>
      <c r="D90" s="51"/>
      <c r="F90" s="15"/>
      <c r="G90" s="1"/>
      <c r="H90" s="3"/>
      <c r="I90" s="3"/>
      <c r="J90" s="6"/>
    </row>
    <row r="91" spans="1:10" ht="17.25" customHeight="1">
      <c r="A91" s="47"/>
      <c r="B91" s="85"/>
      <c r="C91" s="88"/>
      <c r="D91" s="51"/>
      <c r="F91" s="15"/>
      <c r="G91" s="1"/>
      <c r="H91" s="3"/>
      <c r="I91" s="3"/>
      <c r="J91" s="6"/>
    </row>
    <row r="92" spans="1:10" ht="17.25" customHeight="1">
      <c r="A92" s="47"/>
      <c r="B92" s="85"/>
      <c r="C92" s="88"/>
      <c r="D92" s="51"/>
      <c r="F92" s="15"/>
      <c r="G92" s="1"/>
      <c r="H92" s="3"/>
      <c r="I92" s="3"/>
      <c r="J92" s="6"/>
    </row>
    <row r="93" spans="1:10" ht="17.25" customHeight="1">
      <c r="A93" s="47"/>
      <c r="B93" s="85"/>
      <c r="C93" s="88"/>
      <c r="D93" s="51"/>
      <c r="F93" s="15"/>
      <c r="G93" s="1"/>
      <c r="H93" s="3"/>
      <c r="I93" s="3"/>
      <c r="J93" s="6"/>
    </row>
    <row r="94" spans="1:10" ht="17.25" customHeight="1">
      <c r="A94" s="47"/>
      <c r="B94" s="85"/>
      <c r="C94" s="88"/>
      <c r="D94" s="51"/>
      <c r="F94" s="15"/>
      <c r="G94" s="1"/>
      <c r="H94" s="3"/>
      <c r="I94" s="3"/>
      <c r="J94" s="6"/>
    </row>
    <row r="95" spans="1:10" ht="17.25" customHeight="1">
      <c r="A95" s="47"/>
      <c r="B95" s="85"/>
      <c r="C95" s="88"/>
      <c r="D95" s="51"/>
      <c r="F95" s="15"/>
      <c r="G95" s="1"/>
      <c r="H95" s="3"/>
      <c r="I95" s="3"/>
      <c r="J95" s="6"/>
    </row>
    <row r="96" spans="1:10" ht="17.25" customHeight="1">
      <c r="A96" s="47"/>
      <c r="B96" s="85"/>
      <c r="C96" s="88"/>
      <c r="D96" s="51"/>
      <c r="F96" s="15"/>
      <c r="G96" s="1"/>
      <c r="H96" s="3"/>
      <c r="I96" s="3"/>
      <c r="J96" s="6"/>
    </row>
    <row r="97" spans="1:10" ht="17.25" customHeight="1">
      <c r="A97" s="47"/>
      <c r="B97" s="85"/>
      <c r="C97" s="88"/>
      <c r="D97" s="51"/>
      <c r="F97" s="15"/>
      <c r="G97" s="1"/>
      <c r="H97" s="3"/>
      <c r="I97" s="3"/>
      <c r="J97" s="6"/>
    </row>
    <row r="98" spans="1:10" ht="17.25" customHeight="1">
      <c r="A98" s="47"/>
      <c r="B98" s="85"/>
      <c r="C98" s="88"/>
      <c r="D98" s="51"/>
      <c r="F98" s="15"/>
      <c r="G98" s="1"/>
      <c r="H98" s="3"/>
      <c r="I98" s="3"/>
      <c r="J98" s="6"/>
    </row>
    <row r="99" spans="1:10" ht="17.25" customHeight="1">
      <c r="A99" s="47"/>
      <c r="B99" s="85"/>
      <c r="C99" s="88"/>
      <c r="D99" s="51"/>
      <c r="F99" s="15"/>
      <c r="G99" s="1"/>
      <c r="H99" s="3"/>
      <c r="I99" s="3"/>
      <c r="J99" s="6"/>
    </row>
    <row r="100" spans="1:10" ht="17.25" customHeight="1">
      <c r="A100" s="47"/>
      <c r="B100" s="85"/>
      <c r="C100" s="88"/>
      <c r="D100" s="51"/>
      <c r="F100" s="15"/>
      <c r="G100" s="1"/>
      <c r="H100" s="3"/>
      <c r="I100" s="3"/>
      <c r="J100" s="6"/>
    </row>
    <row r="101" spans="1:10" ht="17.25" customHeight="1">
      <c r="A101" s="47"/>
      <c r="B101" s="85"/>
      <c r="C101" s="88"/>
      <c r="D101" s="51"/>
      <c r="F101" s="15"/>
      <c r="G101" s="1"/>
      <c r="H101" s="3"/>
      <c r="I101" s="3"/>
      <c r="J101" s="6"/>
    </row>
    <row r="102" spans="1:10" ht="17.25" customHeight="1">
      <c r="A102" s="47"/>
      <c r="B102" s="85"/>
      <c r="C102" s="88"/>
      <c r="D102" s="51"/>
      <c r="F102" s="15"/>
      <c r="G102" s="1"/>
      <c r="H102" s="3"/>
      <c r="I102" s="3"/>
      <c r="J102" s="6"/>
    </row>
    <row r="103" spans="1:10" ht="17.25" customHeight="1">
      <c r="A103" s="47"/>
      <c r="B103" s="85"/>
      <c r="C103" s="88"/>
      <c r="D103" s="51"/>
      <c r="F103" s="15"/>
      <c r="G103" s="1"/>
      <c r="H103" s="3"/>
      <c r="I103" s="3"/>
      <c r="J103" s="6"/>
    </row>
    <row r="104" spans="1:10" ht="17.25" customHeight="1">
      <c r="A104" s="47"/>
      <c r="B104" s="85"/>
      <c r="C104" s="88"/>
      <c r="D104" s="51"/>
      <c r="F104" s="15"/>
      <c r="G104" s="1"/>
      <c r="H104" s="3"/>
      <c r="I104" s="3"/>
      <c r="J104" s="6"/>
    </row>
    <row r="105" spans="1:10" ht="17.25" customHeight="1">
      <c r="A105" s="47"/>
      <c r="B105" s="85"/>
      <c r="C105" s="88"/>
      <c r="D105" s="51"/>
      <c r="F105" s="15"/>
      <c r="G105" s="1"/>
      <c r="H105" s="3"/>
      <c r="I105" s="3"/>
      <c r="J105" s="6"/>
    </row>
    <row r="106" spans="1:10" ht="17.25" customHeight="1">
      <c r="A106" s="47"/>
      <c r="B106" s="85"/>
      <c r="C106" s="88"/>
      <c r="D106" s="51"/>
      <c r="F106" s="15"/>
      <c r="G106" s="1"/>
      <c r="H106" s="3"/>
      <c r="I106" s="3"/>
      <c r="J106" s="6"/>
    </row>
    <row r="107" spans="1:10" ht="17.25" customHeight="1">
      <c r="A107" s="47"/>
      <c r="B107" s="85"/>
      <c r="C107" s="88"/>
      <c r="D107" s="51"/>
      <c r="F107" s="15"/>
      <c r="G107" s="1"/>
      <c r="H107" s="3"/>
      <c r="I107" s="3"/>
      <c r="J107" s="6"/>
    </row>
    <row r="108" spans="1:10" ht="17.25" customHeight="1">
      <c r="A108" s="47"/>
      <c r="B108" s="85"/>
      <c r="C108" s="88"/>
      <c r="D108" s="51"/>
      <c r="F108" s="15"/>
      <c r="G108" s="1"/>
      <c r="H108" s="3"/>
      <c r="I108" s="3"/>
      <c r="J108" s="6"/>
    </row>
    <row r="109" spans="1:10" ht="17.25" customHeight="1">
      <c r="A109" s="47"/>
      <c r="B109" s="85"/>
      <c r="C109" s="88"/>
      <c r="D109" s="51"/>
      <c r="F109" s="15"/>
      <c r="G109" s="1"/>
      <c r="H109" s="3"/>
      <c r="I109" s="3"/>
      <c r="J109" s="6"/>
    </row>
    <row r="110" spans="1:10" ht="17.25" customHeight="1">
      <c r="A110" s="47"/>
      <c r="B110" s="85"/>
      <c r="C110" s="88"/>
      <c r="D110" s="51"/>
      <c r="F110" s="15"/>
      <c r="G110" s="1"/>
      <c r="H110" s="3"/>
      <c r="I110" s="3"/>
      <c r="J110" s="6"/>
    </row>
    <row r="111" spans="1:10" ht="17.25" customHeight="1">
      <c r="A111" s="47"/>
      <c r="B111" s="85"/>
      <c r="C111" s="88"/>
      <c r="D111" s="51"/>
      <c r="F111" s="15"/>
      <c r="G111" s="1"/>
      <c r="H111" s="3"/>
      <c r="I111" s="3"/>
      <c r="J111" s="6"/>
    </row>
    <row r="112" spans="1:10" ht="17.25" customHeight="1">
      <c r="A112" s="47"/>
      <c r="B112" s="85"/>
      <c r="C112" s="88"/>
      <c r="D112" s="51"/>
      <c r="F112" s="15"/>
      <c r="G112" s="1"/>
      <c r="H112" s="3"/>
      <c r="I112" s="3"/>
      <c r="J112" s="6"/>
    </row>
    <row r="113" spans="1:10" ht="17.25" customHeight="1">
      <c r="A113" s="47"/>
      <c r="B113" s="85"/>
      <c r="C113" s="88"/>
      <c r="D113" s="51"/>
      <c r="F113" s="15"/>
      <c r="G113" s="1"/>
      <c r="H113" s="3"/>
      <c r="I113" s="3"/>
      <c r="J113" s="6"/>
    </row>
    <row r="114" spans="1:10" ht="17.25" customHeight="1">
      <c r="A114" s="47"/>
      <c r="B114" s="85"/>
      <c r="C114" s="88"/>
      <c r="D114" s="51"/>
      <c r="F114" s="15"/>
      <c r="G114" s="1"/>
      <c r="H114" s="3"/>
      <c r="I114" s="3"/>
      <c r="J114" s="6"/>
    </row>
    <row r="115" spans="1:10" ht="17.25" customHeight="1">
      <c r="A115" s="47"/>
      <c r="B115" s="85"/>
      <c r="C115" s="88"/>
      <c r="D115" s="51"/>
      <c r="F115" s="15"/>
      <c r="G115" s="1"/>
      <c r="H115" s="3"/>
      <c r="I115" s="3"/>
      <c r="J115" s="6"/>
    </row>
    <row r="116" spans="1:10" ht="17.25" customHeight="1">
      <c r="A116" s="47"/>
      <c r="B116" s="85"/>
      <c r="C116" s="88"/>
      <c r="D116" s="51"/>
      <c r="F116" s="15"/>
      <c r="G116" s="1"/>
      <c r="H116" s="3"/>
      <c r="I116" s="3"/>
      <c r="J116" s="6"/>
    </row>
    <row r="117" spans="1:10" ht="17.25" customHeight="1">
      <c r="A117" s="47"/>
      <c r="B117" s="85"/>
      <c r="C117" s="88"/>
      <c r="D117" s="51"/>
      <c r="F117" s="15"/>
      <c r="G117" s="1"/>
      <c r="H117" s="3"/>
      <c r="I117" s="3"/>
      <c r="J117" s="6"/>
    </row>
    <row r="118" spans="1:10" ht="17.25" customHeight="1">
      <c r="A118" s="47"/>
      <c r="B118" s="85"/>
      <c r="C118" s="88"/>
      <c r="D118" s="51"/>
      <c r="F118" s="15"/>
      <c r="G118" s="1"/>
      <c r="H118" s="3"/>
      <c r="I118" s="3"/>
      <c r="J118" s="6"/>
    </row>
    <row r="119" spans="1:10" ht="17.25" customHeight="1">
      <c r="A119" s="47"/>
      <c r="B119" s="85"/>
      <c r="C119" s="88"/>
      <c r="D119" s="51"/>
      <c r="F119" s="15"/>
      <c r="G119" s="1"/>
      <c r="H119" s="3"/>
      <c r="I119" s="3"/>
      <c r="J119" s="6"/>
    </row>
    <row r="120" spans="1:10" ht="17.25" customHeight="1">
      <c r="A120" s="47"/>
      <c r="B120" s="85"/>
      <c r="C120" s="88"/>
      <c r="D120" s="51"/>
      <c r="F120" s="15"/>
      <c r="G120" s="1"/>
      <c r="H120" s="3"/>
      <c r="I120" s="3"/>
      <c r="J120" s="6"/>
    </row>
    <row r="121" spans="1:10" ht="17.25" customHeight="1">
      <c r="A121" s="47"/>
      <c r="B121" s="85"/>
      <c r="C121" s="88"/>
      <c r="D121" s="51"/>
      <c r="F121" s="15"/>
      <c r="G121" s="1"/>
      <c r="H121" s="3"/>
      <c r="I121" s="3"/>
      <c r="J121" s="6"/>
    </row>
    <row r="122" spans="1:10" ht="17.25" customHeight="1">
      <c r="A122" s="47"/>
      <c r="B122" s="85"/>
      <c r="C122" s="88"/>
      <c r="D122" s="51"/>
      <c r="F122" s="15"/>
      <c r="G122" s="1"/>
      <c r="H122" s="3"/>
      <c r="I122" s="3"/>
      <c r="J122" s="6"/>
    </row>
    <row r="123" spans="1:10" ht="17.25" customHeight="1">
      <c r="A123" s="47"/>
      <c r="B123" s="85"/>
      <c r="C123" s="88"/>
      <c r="D123" s="51"/>
      <c r="F123" s="15"/>
      <c r="G123" s="1"/>
      <c r="H123" s="3"/>
      <c r="I123" s="3"/>
      <c r="J123" s="6"/>
    </row>
    <row r="124" spans="1:10" ht="17.25" customHeight="1">
      <c r="A124" s="47"/>
      <c r="B124" s="85"/>
      <c r="C124" s="88"/>
      <c r="D124" s="51"/>
      <c r="F124" s="15"/>
      <c r="G124" s="1"/>
      <c r="H124" s="3"/>
      <c r="I124" s="3"/>
      <c r="J124" s="6"/>
    </row>
    <row r="125" spans="1:10" ht="17.25" customHeight="1">
      <c r="A125" s="47"/>
      <c r="B125" s="85"/>
      <c r="C125" s="88"/>
      <c r="D125" s="51"/>
      <c r="F125" s="15"/>
      <c r="G125" s="1"/>
      <c r="H125" s="3"/>
      <c r="I125" s="3"/>
      <c r="J125" s="6"/>
    </row>
    <row r="126" spans="1:10" ht="17.25" customHeight="1">
      <c r="A126" s="47"/>
      <c r="B126" s="85"/>
      <c r="C126" s="88"/>
      <c r="D126" s="51"/>
      <c r="F126" s="15"/>
      <c r="G126" s="1"/>
      <c r="H126" s="3"/>
      <c r="I126" s="3"/>
      <c r="J126" s="6"/>
    </row>
    <row r="127" spans="1:10" ht="17.25" customHeight="1">
      <c r="A127" s="47"/>
      <c r="B127" s="85"/>
      <c r="C127" s="88"/>
      <c r="D127" s="51"/>
      <c r="F127" s="15"/>
      <c r="G127" s="1"/>
      <c r="H127" s="3"/>
      <c r="I127" s="3"/>
      <c r="J127" s="6"/>
    </row>
    <row r="128" spans="1:10" ht="17.25" customHeight="1">
      <c r="A128" s="47"/>
      <c r="B128" s="85"/>
      <c r="C128" s="88"/>
      <c r="D128" s="51"/>
      <c r="F128" s="15"/>
      <c r="G128" s="1"/>
      <c r="H128" s="3"/>
      <c r="I128" s="3"/>
      <c r="J128" s="6"/>
    </row>
    <row r="129" spans="1:10" ht="17.25" customHeight="1">
      <c r="A129" s="47"/>
      <c r="B129" s="85"/>
      <c r="C129" s="88"/>
      <c r="D129" s="51"/>
      <c r="F129" s="15"/>
      <c r="G129" s="1"/>
      <c r="H129" s="3"/>
      <c r="I129" s="3"/>
      <c r="J129" s="6"/>
    </row>
    <row r="130" spans="1:10" ht="17.25" customHeight="1">
      <c r="A130" s="47"/>
      <c r="B130" s="85"/>
      <c r="C130" s="88"/>
      <c r="D130" s="51"/>
      <c r="F130" s="15"/>
      <c r="G130" s="1"/>
      <c r="H130" s="3"/>
      <c r="I130" s="3"/>
      <c r="J130" s="6"/>
    </row>
    <row r="131" spans="1:10" ht="17.25" customHeight="1">
      <c r="A131" s="47"/>
      <c r="B131" s="85"/>
      <c r="C131" s="88"/>
      <c r="D131" s="51"/>
      <c r="F131" s="15"/>
      <c r="G131" s="1"/>
      <c r="H131" s="3"/>
      <c r="I131" s="3"/>
      <c r="J131" s="6"/>
    </row>
    <row r="132" spans="1:10" ht="17.25" customHeight="1">
      <c r="A132" s="47"/>
      <c r="B132" s="85"/>
      <c r="C132" s="88"/>
      <c r="D132" s="51"/>
      <c r="F132" s="15"/>
      <c r="G132" s="1"/>
      <c r="H132" s="3"/>
      <c r="I132" s="3"/>
      <c r="J132" s="6"/>
    </row>
    <row r="133" spans="1:10" ht="17.25" customHeight="1">
      <c r="A133" s="47"/>
      <c r="B133" s="85"/>
      <c r="C133" s="88"/>
      <c r="D133" s="51"/>
      <c r="F133" s="15"/>
      <c r="G133" s="1"/>
      <c r="H133" s="3"/>
      <c r="I133" s="3"/>
      <c r="J133" s="6"/>
    </row>
    <row r="134" spans="1:10" ht="17.25" customHeight="1">
      <c r="A134" s="47"/>
      <c r="B134" s="85"/>
      <c r="C134" s="88"/>
      <c r="D134" s="51"/>
      <c r="F134" s="15"/>
      <c r="G134" s="1"/>
      <c r="H134" s="3"/>
      <c r="I134" s="3"/>
      <c r="J134" s="6"/>
    </row>
    <row r="135" spans="1:10" ht="17.25" customHeight="1">
      <c r="A135" s="47"/>
      <c r="B135" s="85"/>
      <c r="C135" s="88"/>
      <c r="D135" s="51"/>
      <c r="F135" s="15"/>
      <c r="G135" s="1"/>
      <c r="H135" s="3"/>
      <c r="I135" s="3"/>
      <c r="J135" s="6"/>
    </row>
    <row r="136" spans="1:10" ht="17.25" customHeight="1">
      <c r="A136" s="47"/>
      <c r="B136" s="85"/>
      <c r="C136" s="88"/>
      <c r="D136" s="51"/>
      <c r="F136" s="15"/>
      <c r="G136" s="1"/>
      <c r="H136" s="3"/>
      <c r="I136" s="3"/>
      <c r="J136" s="6"/>
    </row>
    <row r="137" spans="1:10" ht="17.25" customHeight="1">
      <c r="A137" s="47"/>
      <c r="B137" s="85"/>
      <c r="C137" s="88"/>
      <c r="D137" s="51"/>
      <c r="F137" s="15"/>
      <c r="G137" s="1"/>
      <c r="H137" s="3"/>
      <c r="I137" s="3"/>
      <c r="J137" s="6"/>
    </row>
    <row r="138" spans="1:10" ht="17.25" customHeight="1">
      <c r="A138" s="47"/>
      <c r="B138" s="85"/>
      <c r="C138" s="88"/>
      <c r="D138" s="51"/>
      <c r="F138" s="15"/>
      <c r="G138" s="1"/>
      <c r="H138" s="3"/>
      <c r="I138" s="3"/>
      <c r="J138" s="6"/>
    </row>
    <row r="139" spans="1:10" ht="17.25" customHeight="1">
      <c r="A139" s="47"/>
      <c r="B139" s="85"/>
      <c r="C139" s="88"/>
      <c r="D139" s="51"/>
      <c r="F139" s="15"/>
      <c r="G139" s="1"/>
      <c r="H139" s="3"/>
      <c r="I139" s="3"/>
      <c r="J139" s="6"/>
    </row>
    <row r="140" spans="1:10" ht="17.25" customHeight="1">
      <c r="A140" s="47"/>
      <c r="B140" s="85"/>
      <c r="C140" s="88"/>
      <c r="D140" s="51"/>
      <c r="F140" s="15"/>
      <c r="G140" s="1"/>
      <c r="H140" s="3"/>
      <c r="I140" s="3"/>
      <c r="J140" s="6"/>
    </row>
    <row r="141" spans="1:10" ht="17.25" customHeight="1">
      <c r="A141" s="47"/>
      <c r="B141" s="85"/>
      <c r="C141" s="88"/>
      <c r="D141" s="51"/>
      <c r="F141" s="15"/>
      <c r="G141" s="1"/>
      <c r="H141" s="3"/>
      <c r="I141" s="3"/>
      <c r="J141" s="6"/>
    </row>
    <row r="142" spans="1:10" ht="17.25" customHeight="1">
      <c r="A142" s="47"/>
      <c r="B142" s="85"/>
      <c r="C142" s="88"/>
      <c r="D142" s="51"/>
      <c r="F142" s="15"/>
      <c r="G142" s="1"/>
      <c r="H142" s="3"/>
      <c r="I142" s="3"/>
      <c r="J142" s="6"/>
    </row>
    <row r="143" spans="1:10" ht="17.25" customHeight="1">
      <c r="A143" s="47"/>
      <c r="B143" s="85"/>
      <c r="C143" s="88"/>
      <c r="D143" s="51"/>
      <c r="F143" s="15"/>
      <c r="G143" s="1"/>
      <c r="H143" s="3"/>
      <c r="I143" s="3"/>
      <c r="J143" s="6"/>
    </row>
    <row r="144" spans="1:10" ht="17.25" customHeight="1">
      <c r="A144" s="47"/>
      <c r="B144" s="85"/>
      <c r="C144" s="88"/>
      <c r="D144" s="51"/>
      <c r="F144" s="15"/>
      <c r="G144" s="1"/>
      <c r="H144" s="3"/>
      <c r="I144" s="3"/>
      <c r="J144" s="6"/>
    </row>
    <row r="145" spans="1:10" ht="17.25" customHeight="1">
      <c r="A145" s="47"/>
      <c r="B145" s="85"/>
      <c r="C145" s="88"/>
      <c r="D145" s="51"/>
      <c r="F145" s="15"/>
      <c r="G145" s="1"/>
      <c r="H145" s="3"/>
      <c r="I145" s="3"/>
      <c r="J145" s="6"/>
    </row>
    <row r="146" spans="1:10" ht="17.25" customHeight="1">
      <c r="A146" s="47"/>
      <c r="B146" s="85"/>
      <c r="C146" s="88"/>
      <c r="D146" s="51"/>
      <c r="F146" s="15"/>
      <c r="G146" s="1"/>
      <c r="H146" s="3"/>
      <c r="I146" s="3"/>
      <c r="J146" s="6"/>
    </row>
    <row r="147" spans="1:10" ht="17.25" customHeight="1">
      <c r="A147" s="47"/>
      <c r="B147" s="85"/>
      <c r="C147" s="88"/>
      <c r="D147" s="51"/>
      <c r="F147" s="15"/>
      <c r="G147" s="1"/>
      <c r="H147" s="3"/>
      <c r="I147" s="3"/>
      <c r="J147" s="6"/>
    </row>
    <row r="148" spans="1:10" ht="17.25" customHeight="1">
      <c r="A148" s="47"/>
      <c r="B148" s="85"/>
      <c r="C148" s="88"/>
      <c r="D148" s="51"/>
      <c r="F148" s="15"/>
      <c r="G148" s="1"/>
      <c r="H148" s="3"/>
      <c r="I148" s="3"/>
      <c r="J148" s="6"/>
    </row>
    <row r="149" spans="1:10" ht="17.25" customHeight="1">
      <c r="A149" s="47"/>
      <c r="B149" s="85"/>
      <c r="C149" s="88"/>
      <c r="D149" s="51"/>
      <c r="F149" s="15"/>
      <c r="G149" s="1"/>
      <c r="H149" s="3"/>
      <c r="I149" s="3"/>
      <c r="J149" s="6"/>
    </row>
    <row r="150" spans="1:10" ht="17.25" customHeight="1">
      <c r="A150" s="47"/>
      <c r="B150" s="85"/>
      <c r="C150" s="88"/>
      <c r="D150" s="51"/>
      <c r="F150" s="15"/>
      <c r="G150" s="1"/>
      <c r="H150" s="3"/>
      <c r="I150" s="3"/>
      <c r="J150" s="6"/>
    </row>
    <row r="151" spans="1:10" ht="17.25" customHeight="1">
      <c r="A151" s="47"/>
      <c r="B151" s="85"/>
      <c r="C151" s="88"/>
      <c r="D151" s="51"/>
      <c r="F151" s="15"/>
      <c r="G151" s="1"/>
      <c r="H151" s="3"/>
      <c r="I151" s="3"/>
      <c r="J151" s="6"/>
    </row>
    <row r="152" spans="1:10" ht="17.25" customHeight="1">
      <c r="A152" s="47"/>
      <c r="B152" s="85"/>
      <c r="C152" s="88"/>
      <c r="D152" s="51"/>
      <c r="F152" s="15"/>
      <c r="G152" s="1"/>
      <c r="H152" s="3"/>
      <c r="I152" s="3"/>
      <c r="J152" s="6"/>
    </row>
    <row r="153" spans="1:10" ht="17.25" customHeight="1">
      <c r="A153" s="47"/>
      <c r="B153" s="85"/>
      <c r="C153" s="88"/>
      <c r="D153" s="51"/>
      <c r="F153" s="15"/>
      <c r="G153" s="1"/>
      <c r="H153" s="3"/>
      <c r="I153" s="3"/>
      <c r="J153" s="6"/>
    </row>
    <row r="154" spans="1:10" ht="17.25" customHeight="1">
      <c r="A154" s="47"/>
      <c r="B154" s="85"/>
      <c r="C154" s="88"/>
      <c r="D154" s="51"/>
      <c r="F154" s="15"/>
      <c r="G154" s="1"/>
      <c r="H154" s="3"/>
      <c r="I154" s="3"/>
      <c r="J154" s="6"/>
    </row>
    <row r="155" spans="1:10" ht="17.25" customHeight="1">
      <c r="A155" s="47"/>
      <c r="B155" s="85"/>
      <c r="C155" s="88"/>
      <c r="D155" s="51"/>
      <c r="F155" s="15"/>
      <c r="G155" s="1"/>
      <c r="H155" s="3"/>
      <c r="I155" s="3"/>
      <c r="J155" s="6"/>
    </row>
    <row r="156" spans="1:10" ht="17.25" customHeight="1">
      <c r="A156" s="47"/>
      <c r="B156" s="85"/>
      <c r="C156" s="88"/>
      <c r="D156" s="51"/>
      <c r="F156" s="15"/>
      <c r="G156" s="1"/>
      <c r="H156" s="3"/>
      <c r="I156" s="3"/>
      <c r="J156" s="6"/>
    </row>
    <row r="157" spans="1:10" ht="17.25" customHeight="1">
      <c r="A157" s="47"/>
      <c r="B157" s="85"/>
      <c r="C157" s="88"/>
      <c r="D157" s="51"/>
      <c r="F157" s="15"/>
      <c r="G157" s="1"/>
      <c r="H157" s="3"/>
      <c r="I157" s="3"/>
      <c r="J157" s="6"/>
    </row>
    <row r="158" spans="1:10" ht="17.25" customHeight="1">
      <c r="A158" s="47"/>
      <c r="B158" s="85"/>
      <c r="C158" s="88"/>
      <c r="D158" s="51"/>
      <c r="F158" s="15"/>
      <c r="G158" s="1"/>
      <c r="H158" s="3"/>
      <c r="I158" s="3"/>
      <c r="J158" s="6"/>
    </row>
    <row r="159" spans="1:10" ht="17.25" customHeight="1">
      <c r="A159" s="47"/>
      <c r="B159" s="85"/>
      <c r="C159" s="88"/>
      <c r="D159" s="51"/>
      <c r="F159" s="15"/>
      <c r="G159" s="1"/>
      <c r="H159" s="3"/>
      <c r="I159" s="3"/>
      <c r="J159" s="6"/>
    </row>
    <row r="160" spans="1:10" ht="17.25" customHeight="1">
      <c r="A160" s="47"/>
      <c r="B160" s="85"/>
      <c r="C160" s="88"/>
      <c r="D160" s="51"/>
      <c r="F160" s="15"/>
      <c r="G160" s="1"/>
      <c r="H160" s="3"/>
      <c r="I160" s="3"/>
      <c r="J160" s="6"/>
    </row>
    <row r="161" spans="1:10" ht="17.25" customHeight="1">
      <c r="A161" s="47"/>
      <c r="B161" s="85"/>
      <c r="C161" s="88"/>
      <c r="D161" s="51"/>
      <c r="F161" s="15"/>
      <c r="G161" s="1"/>
      <c r="H161" s="3"/>
      <c r="I161" s="3"/>
      <c r="J161" s="6"/>
    </row>
    <row r="162" spans="1:10" ht="17.25" customHeight="1">
      <c r="A162" s="47"/>
      <c r="B162" s="85"/>
      <c r="C162" s="88"/>
      <c r="D162" s="51"/>
      <c r="F162" s="2"/>
      <c r="G162" s="1"/>
      <c r="H162" s="3"/>
      <c r="I162" s="3"/>
      <c r="J162" s="6"/>
    </row>
    <row r="163" spans="1:10" ht="17.25" customHeight="1">
      <c r="A163" s="47"/>
      <c r="B163" s="85"/>
      <c r="C163" s="88"/>
      <c r="D163" s="51"/>
      <c r="F163" s="2"/>
      <c r="G163" s="1"/>
      <c r="H163" s="3"/>
      <c r="I163" s="3"/>
      <c r="J163" s="6"/>
    </row>
    <row r="164" spans="1:10" ht="16.5" customHeight="1">
      <c r="A164" s="47"/>
      <c r="B164" s="85"/>
      <c r="C164" s="88"/>
      <c r="D164" s="51"/>
      <c r="F164" s="2"/>
      <c r="G164" s="1"/>
      <c r="H164" s="3"/>
      <c r="I164" s="3"/>
      <c r="J164" s="6"/>
    </row>
    <row r="165" spans="1:10" ht="16.5" customHeight="1">
      <c r="A165" s="47"/>
      <c r="B165" s="85"/>
      <c r="C165" s="88"/>
      <c r="D165" s="51"/>
      <c r="G165" s="1"/>
      <c r="H165" s="3"/>
      <c r="I165" s="3"/>
      <c r="J165" s="6"/>
    </row>
    <row r="166" spans="1:10" ht="16.5" customHeight="1">
      <c r="A166" s="47"/>
      <c r="B166" s="85"/>
      <c r="C166" s="88"/>
      <c r="D166" s="51"/>
      <c r="G166" s="1"/>
      <c r="H166" s="3"/>
      <c r="I166" s="3"/>
      <c r="J166" s="6"/>
    </row>
    <row r="167" spans="1:10" ht="16.5" customHeight="1">
      <c r="A167" s="47"/>
      <c r="B167" s="85"/>
      <c r="C167" s="88"/>
      <c r="D167" s="51"/>
      <c r="F167" s="2"/>
      <c r="G167" s="1"/>
      <c r="H167" s="3"/>
      <c r="I167" s="3"/>
      <c r="J167" s="6"/>
    </row>
    <row r="168" spans="1:10" ht="16.5" customHeight="1">
      <c r="A168" s="47"/>
      <c r="B168" s="85"/>
      <c r="C168" s="88"/>
      <c r="D168" s="51"/>
      <c r="F168" s="2"/>
      <c r="G168" s="1"/>
      <c r="H168" s="3"/>
      <c r="I168" s="3"/>
    </row>
    <row r="169" spans="1:10" ht="17.25" customHeight="1">
      <c r="A169" s="47"/>
      <c r="B169" s="85"/>
      <c r="C169" s="88"/>
      <c r="D169" s="51"/>
      <c r="F169" s="2"/>
      <c r="G169" s="1"/>
      <c r="H169" s="3"/>
      <c r="I169" s="3"/>
      <c r="J169" s="6"/>
    </row>
    <row r="170" spans="1:10" ht="17.25" customHeight="1">
      <c r="A170" s="47"/>
      <c r="B170" s="85"/>
      <c r="C170" s="88"/>
      <c r="D170" s="51"/>
      <c r="F170" s="2"/>
      <c r="G170" s="1"/>
      <c r="H170" s="3"/>
      <c r="I170" s="3"/>
      <c r="J170" s="6"/>
    </row>
    <row r="171" spans="1:10" ht="18" customHeight="1">
      <c r="A171" s="47"/>
      <c r="B171" s="85"/>
      <c r="C171" s="88"/>
      <c r="D171" s="51"/>
      <c r="F171" s="2"/>
      <c r="G171" s="1"/>
      <c r="H171" s="3"/>
      <c r="I171" s="3"/>
      <c r="J171" s="6"/>
    </row>
    <row r="172" spans="1:10" ht="18" customHeight="1">
      <c r="A172" s="47"/>
      <c r="B172" s="85"/>
      <c r="C172" s="88"/>
      <c r="D172" s="51"/>
      <c r="F172" s="2"/>
      <c r="G172" s="1"/>
      <c r="H172" s="3"/>
      <c r="I172" s="3"/>
      <c r="J172" s="6"/>
    </row>
    <row r="173" spans="1:10" ht="18" customHeight="1">
      <c r="A173" s="47"/>
      <c r="B173" s="85"/>
      <c r="C173" s="88"/>
      <c r="D173" s="51"/>
      <c r="F173" s="2"/>
      <c r="G173" s="1"/>
      <c r="H173" s="3"/>
      <c r="I173" s="3"/>
      <c r="J173" s="6"/>
    </row>
    <row r="174" spans="1:10" ht="22.5" customHeight="1">
      <c r="A174" s="47"/>
      <c r="B174" s="85"/>
      <c r="C174" s="88"/>
      <c r="D174" s="51"/>
      <c r="F174" s="2"/>
      <c r="G174" s="1"/>
      <c r="H174" s="3"/>
      <c r="I174" s="3"/>
      <c r="J174" s="6"/>
    </row>
    <row r="175" spans="1:10" ht="18" customHeight="1">
      <c r="A175" s="47"/>
      <c r="B175" s="85"/>
      <c r="C175" s="88"/>
      <c r="D175" s="51"/>
      <c r="G175" s="1"/>
      <c r="H175" s="3"/>
      <c r="I175" s="3"/>
      <c r="J175" s="6"/>
    </row>
    <row r="176" spans="1:10" ht="18" customHeight="1">
      <c r="A176" s="47"/>
      <c r="B176" s="85"/>
      <c r="C176" s="88"/>
      <c r="D176" s="51"/>
      <c r="G176" s="1"/>
      <c r="H176" s="3"/>
      <c r="I176" s="3"/>
      <c r="J176" s="6"/>
    </row>
    <row r="177" spans="1:10" ht="18" customHeight="1">
      <c r="A177" s="47"/>
      <c r="B177" s="85"/>
      <c r="C177" s="88"/>
      <c r="D177" s="51"/>
      <c r="G177" s="1"/>
      <c r="H177" s="3"/>
      <c r="I177" s="3"/>
      <c r="J177" s="6"/>
    </row>
    <row r="178" spans="1:10" ht="18" customHeight="1">
      <c r="A178" s="47"/>
      <c r="B178" s="85"/>
      <c r="C178" s="88"/>
      <c r="D178" s="51"/>
      <c r="G178" s="1"/>
      <c r="H178" s="3"/>
      <c r="I178" s="3"/>
      <c r="J178" s="6"/>
    </row>
    <row r="179" spans="1:10" ht="18" customHeight="1">
      <c r="A179" s="47"/>
      <c r="B179" s="85"/>
      <c r="C179" s="88"/>
      <c r="D179" s="51"/>
      <c r="G179" s="1"/>
      <c r="H179" s="3"/>
      <c r="I179" s="3"/>
      <c r="J179" s="6"/>
    </row>
    <row r="180" spans="1:10" ht="18" customHeight="1">
      <c r="A180" s="47"/>
      <c r="B180" s="85"/>
      <c r="C180" s="88"/>
      <c r="D180" s="51"/>
      <c r="G180" s="1"/>
      <c r="H180" s="3"/>
      <c r="I180" s="3"/>
      <c r="J180" s="6"/>
    </row>
    <row r="181" spans="1:10" ht="18" customHeight="1">
      <c r="A181" s="47"/>
      <c r="B181" s="85"/>
      <c r="C181" s="88"/>
      <c r="D181" s="51"/>
      <c r="G181" s="1"/>
      <c r="H181" s="3"/>
      <c r="I181" s="3"/>
      <c r="J181" s="6"/>
    </row>
    <row r="182" spans="1:10" ht="18" customHeight="1">
      <c r="A182" s="47"/>
      <c r="B182" s="85"/>
      <c r="C182" s="88"/>
      <c r="D182" s="51"/>
      <c r="G182" s="1"/>
      <c r="H182" s="3"/>
      <c r="I182" s="3"/>
      <c r="J182" s="6"/>
    </row>
    <row r="183" spans="1:10" ht="18" customHeight="1">
      <c r="A183" s="47"/>
      <c r="B183" s="85"/>
      <c r="C183" s="88"/>
      <c r="D183" s="51"/>
      <c r="G183" s="1"/>
      <c r="H183" s="3"/>
      <c r="I183" s="3"/>
      <c r="J183" s="6"/>
    </row>
    <row r="184" spans="1:10" ht="18" customHeight="1">
      <c r="A184" s="47"/>
      <c r="B184" s="85"/>
      <c r="C184" s="88"/>
      <c r="D184" s="51"/>
      <c r="G184" s="1"/>
      <c r="H184" s="3"/>
      <c r="I184" s="3"/>
      <c r="J184" s="6"/>
    </row>
    <row r="185" spans="1:10" ht="15" customHeight="1">
      <c r="A185" s="47"/>
      <c r="B185" s="85"/>
      <c r="C185" s="88"/>
      <c r="D185" s="51"/>
      <c r="G185" s="1"/>
      <c r="H185" s="3"/>
      <c r="I185" s="3"/>
      <c r="J185" s="6"/>
    </row>
    <row r="186" spans="1:10" ht="15" customHeight="1">
      <c r="A186" s="47"/>
      <c r="B186" s="85"/>
      <c r="C186" s="88"/>
      <c r="D186" s="51"/>
      <c r="G186" s="1"/>
      <c r="H186" s="3"/>
      <c r="I186" s="3"/>
      <c r="J186" s="6"/>
    </row>
    <row r="187" spans="1:10" ht="15" customHeight="1">
      <c r="A187" s="47"/>
      <c r="B187" s="85"/>
      <c r="C187" s="88"/>
      <c r="D187" s="51"/>
      <c r="G187" s="1"/>
      <c r="H187" s="3"/>
      <c r="I187" s="3"/>
      <c r="J187" s="6"/>
    </row>
    <row r="188" spans="1:10" ht="15" customHeight="1">
      <c r="A188" s="47"/>
      <c r="B188" s="85"/>
      <c r="C188" s="88"/>
      <c r="D188" s="51"/>
      <c r="G188" s="1"/>
      <c r="H188" s="3"/>
      <c r="I188" s="3"/>
      <c r="J188" s="6"/>
    </row>
    <row r="189" spans="1:10" ht="15" customHeight="1">
      <c r="A189" s="47"/>
      <c r="B189" s="85"/>
      <c r="C189" s="88"/>
      <c r="D189" s="51"/>
      <c r="G189" s="1"/>
      <c r="H189" s="3"/>
      <c r="I189" s="3"/>
      <c r="J189" s="6"/>
    </row>
    <row r="190" spans="1:10" ht="15" customHeight="1">
      <c r="A190" s="47"/>
      <c r="B190" s="85"/>
      <c r="C190" s="88"/>
      <c r="D190" s="51"/>
      <c r="G190" s="1"/>
      <c r="H190" s="3"/>
      <c r="I190" s="3"/>
      <c r="J190" s="6"/>
    </row>
    <row r="191" spans="1:10" ht="15" customHeight="1">
      <c r="A191" s="47"/>
      <c r="B191" s="85"/>
      <c r="C191" s="88"/>
      <c r="D191" s="51"/>
      <c r="F191" s="2"/>
      <c r="G191" s="1"/>
      <c r="H191" s="3"/>
      <c r="I191" s="3"/>
      <c r="J191" s="6"/>
    </row>
    <row r="192" spans="1:10" ht="15" customHeight="1">
      <c r="A192" s="47"/>
      <c r="B192" s="85"/>
      <c r="C192" s="88"/>
      <c r="D192" s="51"/>
      <c r="F192" s="2"/>
      <c r="G192" s="1"/>
      <c r="H192" s="3"/>
      <c r="I192" s="3"/>
      <c r="J192" s="6"/>
    </row>
    <row r="193" spans="1:10" ht="15" customHeight="1">
      <c r="A193" s="47"/>
      <c r="B193" s="85"/>
      <c r="C193" s="88"/>
      <c r="D193" s="51"/>
      <c r="F193" s="2"/>
      <c r="G193" s="1"/>
      <c r="H193" s="3"/>
      <c r="I193" s="3"/>
      <c r="J193" s="6"/>
    </row>
    <row r="194" spans="1:10" ht="15" customHeight="1">
      <c r="A194" s="47"/>
      <c r="B194" s="85"/>
      <c r="C194" s="88"/>
      <c r="D194" s="51"/>
      <c r="F194" s="2"/>
      <c r="G194" s="1"/>
      <c r="H194" s="3"/>
      <c r="I194" s="3"/>
      <c r="J194" s="6"/>
    </row>
    <row r="195" spans="1:10" ht="15" customHeight="1">
      <c r="A195" s="47"/>
      <c r="B195" s="85"/>
      <c r="C195" s="88"/>
      <c r="D195" s="51"/>
      <c r="F195" s="2"/>
      <c r="G195" s="1"/>
      <c r="H195" s="3"/>
      <c r="I195" s="3"/>
      <c r="J195" s="6"/>
    </row>
    <row r="196" spans="1:10" ht="15" customHeight="1">
      <c r="A196" s="47"/>
      <c r="B196" s="85"/>
      <c r="C196" s="88"/>
      <c r="D196" s="51"/>
      <c r="F196" s="2"/>
      <c r="G196" s="1"/>
      <c r="H196" s="3"/>
      <c r="I196" s="3"/>
      <c r="J196" s="6"/>
    </row>
    <row r="197" spans="1:10" ht="15" customHeight="1">
      <c r="A197" s="47"/>
      <c r="B197" s="85"/>
      <c r="C197" s="88"/>
      <c r="D197" s="51"/>
      <c r="F197" s="2"/>
      <c r="G197" s="1"/>
      <c r="H197" s="3"/>
      <c r="I197" s="3"/>
      <c r="J197" s="6"/>
    </row>
    <row r="198" spans="1:10" ht="15" customHeight="1">
      <c r="A198" s="47"/>
      <c r="B198" s="85"/>
      <c r="C198" s="88"/>
      <c r="D198" s="51"/>
      <c r="F198" s="2"/>
      <c r="G198" s="1"/>
      <c r="H198" s="3"/>
      <c r="I198" s="3"/>
      <c r="J198" s="6"/>
    </row>
    <row r="199" spans="1:10" ht="15" customHeight="1">
      <c r="A199" s="47"/>
      <c r="B199" s="85"/>
      <c r="C199" s="88"/>
      <c r="D199" s="51"/>
      <c r="F199" s="2"/>
      <c r="G199" s="1"/>
      <c r="H199" s="3"/>
      <c r="I199" s="3"/>
      <c r="J199" s="6"/>
    </row>
    <row r="200" spans="1:10" ht="15" customHeight="1">
      <c r="A200" s="47"/>
      <c r="B200" s="85"/>
      <c r="C200" s="88"/>
      <c r="D200" s="51"/>
      <c r="F200" s="2"/>
      <c r="G200" s="1"/>
      <c r="H200" s="3"/>
      <c r="I200" s="3"/>
      <c r="J200" s="6"/>
    </row>
    <row r="201" spans="1:10" ht="15" customHeight="1">
      <c r="A201" s="47"/>
      <c r="B201" s="85"/>
      <c r="C201" s="88"/>
      <c r="D201" s="51"/>
      <c r="F201" s="2"/>
      <c r="G201" s="1"/>
      <c r="H201" s="3"/>
      <c r="I201" s="3"/>
      <c r="J201" s="6"/>
    </row>
    <row r="202" spans="1:10" ht="18.75" customHeight="1">
      <c r="A202" s="47"/>
      <c r="B202" s="85"/>
      <c r="C202" s="88"/>
      <c r="D202" s="51"/>
      <c r="F202" s="2"/>
      <c r="G202" s="1"/>
      <c r="H202" s="3"/>
      <c r="I202" s="3"/>
      <c r="J202" s="6"/>
    </row>
    <row r="203" spans="1:10" ht="15" customHeight="1">
      <c r="A203" s="47"/>
      <c r="B203" s="85"/>
      <c r="C203" s="88"/>
      <c r="D203" s="51"/>
      <c r="F203" s="2"/>
      <c r="G203" s="1"/>
      <c r="H203" s="3"/>
      <c r="I203" s="3"/>
      <c r="J203" s="6"/>
    </row>
    <row r="204" spans="1:10" ht="15" customHeight="1">
      <c r="A204" s="47"/>
      <c r="B204" s="85"/>
      <c r="C204" s="88"/>
      <c r="D204" s="51"/>
      <c r="F204" s="2"/>
      <c r="G204" s="1"/>
      <c r="H204" s="3"/>
      <c r="I204" s="3"/>
      <c r="J204" s="6"/>
    </row>
    <row r="205" spans="1:10" ht="15" customHeight="1">
      <c r="A205" s="47"/>
      <c r="B205" s="85"/>
      <c r="C205" s="88"/>
      <c r="D205" s="51"/>
      <c r="F205" s="2"/>
      <c r="G205" s="1"/>
      <c r="H205" s="3"/>
      <c r="I205" s="3"/>
      <c r="J205" s="6"/>
    </row>
    <row r="206" spans="1:10" ht="15" customHeight="1">
      <c r="A206" s="47"/>
      <c r="B206" s="85"/>
      <c r="C206" s="88"/>
      <c r="D206" s="51"/>
      <c r="F206" s="2"/>
      <c r="G206" s="1"/>
      <c r="H206" s="3"/>
      <c r="I206" s="3"/>
      <c r="J206" s="6"/>
    </row>
    <row r="207" spans="1:10" ht="15" customHeight="1">
      <c r="A207" s="47"/>
      <c r="B207" s="85"/>
      <c r="C207" s="88"/>
      <c r="D207" s="51"/>
      <c r="F207" s="2"/>
      <c r="G207" s="1"/>
      <c r="H207" s="3"/>
      <c r="I207" s="3"/>
    </row>
    <row r="208" spans="1:10" ht="15" customHeight="1">
      <c r="A208" s="47"/>
      <c r="B208" s="85"/>
      <c r="C208" s="88"/>
      <c r="D208" s="51"/>
      <c r="F208" s="2"/>
      <c r="G208" s="1"/>
      <c r="H208" s="3"/>
      <c r="I208" s="3"/>
    </row>
    <row r="209" spans="1:9" ht="15" customHeight="1">
      <c r="A209" s="47"/>
      <c r="B209" s="85"/>
      <c r="C209" s="88"/>
      <c r="D209" s="51"/>
      <c r="F209" s="2"/>
      <c r="G209" s="1"/>
      <c r="H209" s="3"/>
      <c r="I209" s="3"/>
    </row>
    <row r="210" spans="1:9" ht="15" customHeight="1">
      <c r="A210" s="47"/>
      <c r="B210" s="85"/>
      <c r="C210" s="88"/>
      <c r="D210" s="51"/>
      <c r="F210" s="2"/>
      <c r="G210" s="1"/>
      <c r="H210" s="3"/>
      <c r="I210" s="3"/>
    </row>
    <row r="211" spans="1:9" ht="15" customHeight="1">
      <c r="A211" s="47"/>
      <c r="B211" s="85"/>
      <c r="C211" s="88"/>
      <c r="D211" s="51"/>
    </row>
    <row r="212" spans="1:9" ht="15" customHeight="1">
      <c r="A212" s="47"/>
      <c r="B212" s="85"/>
      <c r="C212" s="88"/>
      <c r="D212" s="51"/>
    </row>
    <row r="213" spans="1:9" ht="15" customHeight="1">
      <c r="A213" s="47"/>
      <c r="B213" s="85"/>
      <c r="C213" s="88"/>
      <c r="D213" s="51"/>
    </row>
    <row r="214" spans="1:9" ht="18" customHeight="1" thickBot="1">
      <c r="A214" s="48"/>
      <c r="B214" s="86"/>
      <c r="C214" s="89"/>
      <c r="D214" s="55"/>
    </row>
    <row r="215" spans="1:9" ht="18" customHeight="1"/>
    <row r="216" spans="1:9" ht="18" customHeight="1"/>
    <row r="217" spans="1:9" ht="18" customHeight="1"/>
    <row r="218" spans="1:9" ht="18" customHeight="1"/>
    <row r="219" spans="1:9" ht="18" customHeight="1"/>
    <row r="220" spans="1:9" ht="18" customHeight="1"/>
  </sheetData>
  <mergeCells count="4">
    <mergeCell ref="A1:J1"/>
    <mergeCell ref="C3:D3"/>
    <mergeCell ref="A5:C5"/>
    <mergeCell ref="B17:C17"/>
  </mergeCells>
  <conditionalFormatting sqref="J27:J65536 E6:E13 J1 J5:J16">
    <cfRule type="cellIs" dxfId="2" priority="3" stopIfTrue="1" operator="lessThan">
      <formula>0</formula>
    </cfRule>
  </conditionalFormatting>
  <conditionalFormatting sqref="J2:J4">
    <cfRule type="cellIs" dxfId="1" priority="2" stopIfTrue="1" operator="lessThan">
      <formula>0</formula>
    </cfRule>
  </conditionalFormatting>
  <conditionalFormatting sqref="E5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B6:B13" xr:uid="{AF8E4834-FF3B-4F85-9C7C-98AF66C2F13B}">
      <formula1>INDIRECT($A6)</formula1>
    </dataValidation>
    <dataValidation type="list" allowBlank="1" showInputMessage="1" showErrorMessage="1" sqref="C18:C214" xr:uid="{569ECFB4-1CEF-4464-87A1-78ADD6B57130}">
      <formula1>INDIRECT($B18)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Data</vt:lpstr>
      <vt:lpstr>ภาคเหนือ ปี69 </vt:lpstr>
      <vt:lpstr>ภาคกลาง ปี69</vt:lpstr>
      <vt:lpstr>ภาคตะวันออก ปี69</vt:lpstr>
      <vt:lpstr>ภาคอีสานกลาง ปี69</vt:lpstr>
      <vt:lpstr>ภาคใต้ ปี69</vt:lpstr>
      <vt:lpstr>ภาคอีสานบน ปี69</vt:lpstr>
      <vt:lpstr>ภาคอีสานล่าง ปี69</vt:lpstr>
      <vt:lpstr>ภาคปุ๋ยเทพ 1 ปี69</vt:lpstr>
      <vt:lpstr>ภาคปุ๋ยเทพ 2 ปี69</vt:lpstr>
      <vt:lpstr>อุตสาหกรรม-ราชการ  ปี69</vt:lpstr>
      <vt:lpstr>ตรา</vt:lpstr>
      <vt:lpstr>ปุ๋ยเทพ</vt:lpstr>
      <vt:lpstr>รถเกษตร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Thirayu Meererksom</cp:lastModifiedBy>
  <cp:lastPrinted>2024-04-01T08:00:23Z</cp:lastPrinted>
  <dcterms:created xsi:type="dcterms:W3CDTF">2015-03-30T02:59:17Z</dcterms:created>
  <dcterms:modified xsi:type="dcterms:W3CDTF">2026-06-26T13:05:53Z</dcterms:modified>
</cp:coreProperties>
</file>