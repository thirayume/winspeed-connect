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bfb5ef2cc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04eb69dd154338"/>
    <x:sheet xmlns:r="http://schemas.openxmlformats.org/officeDocument/2006/relationships" name="Run Control" sheetId="2" r:id="R0a4ac3ef6e184080"/>
    <x:sheet xmlns:r="http://schemas.openxmlformats.org/officeDocument/2006/relationships" name="Dashboard" sheetId="3" r:id="R0bd6d4d2d2014f67"/>
    <x:sheet xmlns:r="http://schemas.openxmlformats.org/officeDocument/2006/relationships" name="UAT Cases" sheetId="4" r:id="R8289de2b7eb844fc"/>
    <x:sheet xmlns:r="http://schemas.openxmlformats.org/officeDocument/2006/relationships" name="Full Loop" sheetId="5" r:id="R84cf584f00d6470b"/>
    <x:sheet xmlns:r="http://schemas.openxmlformats.org/officeDocument/2006/relationships" name="Defects" sheetId="6" r:id="Rb27ba4f98c9a46b8"/>
    <x:sheet xmlns:r="http://schemas.openxmlformats.org/officeDocument/2006/relationships" name="Evidence" sheetId="7" r:id="R28f46e0f510444e8"/>
    <x:sheet xmlns:r="http://schemas.openxmlformats.org/officeDocument/2006/relationships" name="Sign-off" sheetId="8" r:id="Rc93c5fdf220b45b6"/>
    <x:sheet xmlns:r="http://schemas.openxmlformats.org/officeDocument/2006/relationships" name="Lookups" sheetId="9" r:id="R1e86354b200f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Kanit"/>
    </x:font>
    <x:font>
      <x:sz val="10"/>
      <x:color rgb="FF1B2633"/>
      <x:name val="Prompt"/>
    </x:font>
    <x:font>
      <x:b/>
      <x:sz val="10"/>
      <x:color rgb="FFFFFFFF"/>
      <x:name val="Prompt"/>
    </x:font>
    <x:font>
      <x:sz val="9"/>
      <x:color rgb="FF1B2633"/>
      <x:name val="Prompt"/>
    </x:font>
    <x:font>
      <x:b/>
      <x:sz val="12"/>
      <x:color rgb="FF12304A"/>
      <x:name val="Kanit"/>
    </x:font>
    <x:font>
      <x:b/>
      <x:sz val="9"/>
      <x:color rgb="FFFFFFFF"/>
      <x:name val="Kanit"/>
    </x:font>
    <x:font>
      <x:b/>
      <x:sz val="9"/>
      <x:color rgb="FF1B2633"/>
      <x:name val="Prompt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CEEF5"/>
      </x:patternFill>
    </x:fill>
    <x:fill>
      <x:patternFill patternType="solid">
        <x:fgColor rgb="FF176B87"/>
      </x:patternFill>
    </x:fill>
    <x:fill>
      <x:patternFill patternType="solid">
        <x:fgColor rgb="FF2A9D8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7DF"/>
      </x:left>
      <x:right style="thin">
        <x:color rgb="FFC9D7DF"/>
      </x:right>
      <x:top style="thin">
        <x:color rgb="FFC9D7DF"/>
      </x:top>
      <x:bottom style="thin">
        <x:color rgb="FFC9D7D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176A39"/>
      </x:font>
      <x:fill>
        <x:patternFill patternType="solid">
          <x:bgColor rgb="FFDFF3E4"/>
        </x:patternFill>
      </x:fill>
    </x:dxf>
    <x:dxf>
      <x:font>
        <x:b/>
        <x:color rgb="FFA32828"/>
      </x:font>
      <x:fill>
        <x:patternFill patternType="solid">
          <x:bgColor rgb="FFFBE0DF"/>
        </x:patternFill>
      </x:fill>
    </x:dxf>
    <x:dxf>
      <x:font>
        <x:b/>
        <x:color rgb="FF176A39"/>
      </x:font>
      <x:fill>
        <x:patternFill patternType="solid">
          <x:bgColor rgb="FFDFF3E4"/>
        </x:patternFill>
      </x:fill>
    </x:dxf>
    <x:dxf>
      <x:font>
        <x:b/>
        <x:color rgb="FFA32828"/>
      </x:font>
      <x:fill>
        <x:patternFill patternType="solid">
          <x:bgColor rgb="FFFBE0DF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A32828"/>
      </x:font>
      <x:fill>
        <x:patternFill patternType="solid">
          <x:bgColor rgb="FFFFF1CC"/>
        </x:patternFill>
      </x:fill>
    </x:dxf>
    <x:dxf>
      <x:font>
        <x:b/>
        <x:color rgb="FF176A39"/>
      </x:font>
      <x:fill>
        <x:patternFill patternType="solid">
          <x:bgColor rgb="FFDFF3E4"/>
        </x:patternFill>
      </x:fill>
    </x:dxf>
    <x:dxf>
      <x:font>
        <x:b/>
        <x:color rgb="FFA32828"/>
      </x:font>
      <x:fill>
        <x:patternFill patternType="solid">
          <x:bgColor rgb="FFFBE0DF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A32828"/>
      </x:font>
      <x:fill>
        <x:patternFill patternType="solid">
          <x:bgColor rgb="FFFBE0DF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176A39"/>
      </x:font>
      <x:fill>
        <x:patternFill patternType="solid">
          <x:bgColor rgb="FFDFF3E4"/>
        </x:patternFill>
      </x:fill>
    </x:dxf>
    <x:dxf>
      <x:font>
        <x:b/>
        <x:color rgb="FFA32828"/>
      </x:font>
      <x:fill>
        <x:patternFill patternType="solid">
          <x:bgColor rgb="FFFBE0DF"/>
        </x:patternFill>
      </x:fill>
    </x:dxf>
    <x:dxf>
      <x:font>
        <x:b/>
        <x:color rgb="FF176A39"/>
      </x:font>
      <x:fill>
        <x:patternFill patternType="solid">
          <x:bgColor rgb="FFDFF3E4"/>
        </x:patternFill>
      </x:fill>
    </x:dxf>
    <x:dxf>
      <x:font>
        <x:b/>
        <x:color rgb="FFA32828"/>
      </x:font>
      <x:fill>
        <x:patternFill patternType="solid">
          <x:bgColor rgb="FFFBE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bc959f9db4f39" /><Relationship Type="http://schemas.openxmlformats.org/officeDocument/2006/relationships/theme" Target="/xl/theme/theme1.xml" Id="R3c64457ae9f741f0" /><Relationship Type="http://schemas.openxmlformats.org/officeDocument/2006/relationships/sharedStrings" Target="/xl/sharedStrings.xml" Id="R7d4b22cfa3a9463d" /><Relationship Type="http://schemas.openxmlformats.org/officeDocument/2006/relationships/worksheet" Target="/xl/worksheets/sheet1.xml" Id="R6b04eb69dd154338" /><Relationship Type="http://schemas.openxmlformats.org/officeDocument/2006/relationships/worksheet" Target="/xl/worksheets/sheet2.xml" Id="R0a4ac3ef6e184080" /><Relationship Type="http://schemas.openxmlformats.org/officeDocument/2006/relationships/worksheet" Target="/xl/worksheets/sheet3.xml" Id="R0bd6d4d2d2014f67" /><Relationship Type="http://schemas.openxmlformats.org/officeDocument/2006/relationships/worksheet" Target="/xl/worksheets/sheet4.xml" Id="R8289de2b7eb844fc" /><Relationship Type="http://schemas.openxmlformats.org/officeDocument/2006/relationships/worksheet" Target="/xl/worksheets/sheet5.xml" Id="R84cf584f00d6470b" /><Relationship Type="http://schemas.openxmlformats.org/officeDocument/2006/relationships/worksheet" Target="/xl/worksheets/sheet6.xml" Id="Rb27ba4f98c9a46b8" /><Relationship Type="http://schemas.openxmlformats.org/officeDocument/2006/relationships/worksheet" Target="/xl/worksheets/sheet7.xml" Id="R28f46e0f510444e8" /><Relationship Type="http://schemas.openxmlformats.org/officeDocument/2006/relationships/worksheet" Target="/xl/worksheets/sheet8.xml" Id="Rc93c5fdf220b45b6" /><Relationship Type="http://schemas.openxmlformats.org/officeDocument/2006/relationships/worksheet" Target="/xl/worksheets/sheet9.xml" Id="R1e86354b200f4048" /></Relationships>
</file>

<file path=xl/tables/table1.xml><?xml version="1.0" encoding="utf-8"?>
<x:table xmlns:x="http://schemas.openxmlformats.org/spreadsheetml/2006/main" id="1" name="UATCasesTable" displayName="UATCasesTable" ref="A4:T22" headerRowCount="1" totalsRowCount="0" totalsRowShown="0">
  <x:tableColumns count="20">
    <x:tableColumn id="1" name="Case ID"/>
    <x:tableColumn id="2" name="Type"/>
    <x:tableColumn id="3" name="Area"/>
    <x:tableColumn id="4" name="Scenario / วัตถุประสงค์"/>
    <x:tableColumn id="5" name="Requirement IDs"/>
    <x:tableColumn id="6" name="Actor"/>
    <x:tableColumn id="7" name="Critical"/>
    <x:tableColumn id="8" name="Preconditions"/>
    <x:tableColumn id="9" name="Test Data"/>
    <x:tableColumn id="10" name="Test Steps"/>
    <x:tableColumn id="11" name="Expected Result"/>
    <x:tableColumn id="12" name="Required Evidence"/>
    <x:tableColumn id="13" name="Automation Ref"/>
    <x:tableColumn id="14" name="Status"/>
    <x:tableColumn id="15" name="Actual Result"/>
    <x:tableColumn id="16" name="Defect ID"/>
    <x:tableColumn id="17" name="Tested By"/>
    <x:tableColumn id="18" name="Test Date"/>
    <x:tableColumn id="19" name="Reviewer"/>
    <x:tableColumn id="20" name="Review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fectsTable" displayName="DefectsTable" ref="A4:L34" headerRowCount="1" totalsRowCount="0" totalsRowShown="0">
  <x:tableColumns count="12">
    <x:tableColumn id="1" name="Defect ID"/>
    <x:tableColumn id="2" name="UAT Case"/>
    <x:tableColumn id="3" name="Severity"/>
    <x:tableColumn id="4" name="Title"/>
    <x:tableColumn id="5" name="Description / Actual"/>
    <x:tableColumn id="6" name="Owner"/>
    <x:tableColumn id="7" name="Target Date"/>
    <x:tableColumn id="8" name="Status"/>
    <x:tableColumn id="9" name="Retest Result"/>
    <x:tableColumn id="10" name="Retest Evidence"/>
    <x:tableColumn id="11" name="Reviewer"/>
    <x:tableColumn id="12" name="Review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Table" displayName="EvidenceTable" ref="A4:L54" headerRowCount="1" totalsRowCount="0" totalsRowShown="0">
  <x:tableColumns count="12">
    <x:tableColumn id="1" name="Evidence ID"/>
    <x:tableColumn id="2" name="UAT Case"/>
    <x:tableColumn id="3" name="Run ID"/>
    <x:tableColumn id="4" name="Type"/>
    <x:tableColumn id="5" name="File / Controlled Link"/>
    <x:tableColumn id="6" name="SHA-256"/>
    <x:tableColumn id="7" name="Captured By"/>
    <x:tableColumn id="8" name="Captured At"/>
    <x:tableColumn id="9" name="Reviewer"/>
    <x:tableColumn id="10" name="Review Date"/>
    <x:tableColumn id="11" name="Classification"/>
    <x:tableColumn id="12" name="Retention/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59719aa437ba43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8c539eaee46145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ef2d320f1e6a470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3" t="str">
        <x:v>WS-Sale-App — UAT Master Script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Controlled candidate workbook • Source-driven from uat-cases.json • Business sign-off required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Document ID</x:v>
      </x:c>
      <x:c r="B4" s="16" t="str">
        <x:v>WF-QA-010-XLSX</x:v>
      </x:c>
    </x:row>
    <x:row r="5">
      <x:c r="A5" s="12" t="str">
        <x:v>Product</x:v>
      </x:c>
      <x:c r="B5" s="16" t="str">
        <x:v>WS-Sale-App</x:v>
      </x:c>
    </x:row>
    <x:row r="6">
      <x:c r="A6" s="12" t="str">
        <x:v>Client</x:v>
      </x:c>
      <x:c r="B6" s="16" t="str">
        <x:v>World Fert Co., Ltd.</x:v>
      </x:c>
    </x:row>
    <x:row r="7">
      <x:c r="A7" s="12" t="str">
        <x:v>Runtime</x:v>
      </x:c>
      <x:c r="B7" s="16" t="str">
        <x:v>1.0.0</x:v>
      </x:c>
    </x:row>
    <x:row r="8">
      <x:c r="A8" s="12" t="str">
        <x:v>Source commit</x:v>
      </x:c>
      <x:c r="B8" s="16" t="str">
        <x:v>8dc03bd0d6c6bdfc765c6b61158df6f2b1e12301</x:v>
      </x:c>
    </x:row>
    <x:row r="9">
      <x:c r="A9" s="12" t="str">
        <x:v>Generated at</x:v>
      </x:c>
      <x:c r="B9" s="16" t="n">
        <x:v>46225.84231290509</x:v>
      </x:c>
    </x:row>
    <x:row r="10">
      <x:c r="A10" s="12" t="str">
        <x:v>Status</x:v>
      </x:c>
      <x:c r="B10" s="16" t="str">
        <x:v>Review / Candidate</x:v>
      </x:c>
    </x:row>
    <x:row r="11">
      <x:c r="A11" s="12" t="str">
        <x:v>Confidentiality</x:v>
      </x:c>
      <x:c r="B11" s="16" t="str">
        <x:v>Confidential — Client / Authorized Partner Use Only</x:v>
      </x:c>
    </x:row>
    <x:row r="12">
      <x:c r="A12" s="12" t="str">
        <x:v>Authoritative data</x:v>
      </x:c>
      <x:c r="B12" s="16" t="str">
        <x:v>uat-cases.json</x:v>
      </x:c>
    </x:row>
    <x:row r="14" ht="24" customHeight="1">
      <x:c r="A14" s="18" t="str">
        <x:v>วิธีใช้งาน / How to use</x:v>
      </x:c>
      <x:c r="B14" s="18"/>
      <x:c r="C14" s="18"/>
      <x:c r="D14" s="18"/>
      <x:c r="E14" s="18"/>
      <x:c r="F14" s="18"/>
      <x:c r="G14" s="18"/>
      <x:c r="H14" s="18"/>
    </x:row>
    <x:row r="15">
      <x:c r="A15" s="22" t="str">
        <x:v>1</x:v>
      </x:c>
      <x:c r="B15" s="16" t="str">
        <x:v>Run Control</x:v>
      </x:c>
      <x:c r="C15" s="16" t="str">
        <x:v>กรอก environment, build, commit, ผู้รับผิดชอบ และ dependency health ก่อนเริ่ม</x:v>
      </x:c>
      <x:c r="D15" s="16" t="str"/>
      <x:c r="E15" s="16" t="str"/>
      <x:c r="F15" s="16" t="str"/>
      <x:c r="G15" s="16" t="str"/>
      <x:c r="H15" s="16" t="str"/>
    </x:row>
    <x:row r="16">
      <x:c r="A16" s="22" t="str">
        <x:v>2</x:v>
      </x:c>
      <x:c r="B16" s="16" t="str">
        <x:v>UAT Cases</x:v>
      </x:c>
      <x:c r="C16" s="16" t="str">
        <x:v>มอบหมายผู้ทดสอบ ทำตามขั้นตอน บันทึก Actual Result, Status, Defect และ evidence</x:v>
      </x:c>
      <x:c r="D16" s="16" t="str"/>
      <x:c r="E16" s="16" t="str"/>
      <x:c r="F16" s="16" t="str"/>
      <x:c r="G16" s="16" t="str"/>
      <x:c r="H16" s="16" t="str"/>
    </x:row>
    <x:row r="17">
      <x:c r="A17" s="22" t="str">
        <x:v>3</x:v>
      </x:c>
      <x:c r="B17" s="16" t="str">
        <x:v>Full Loop</x:v>
      </x:c>
      <x:c r="C17" s="16" t="str">
        <x:v>ใช้ควบคุมลำดับข้าม role และ hold point ของกระบวนการหลัก</x:v>
      </x:c>
      <x:c r="D17" s="16" t="str"/>
      <x:c r="E17" s="16" t="str"/>
      <x:c r="F17" s="16" t="str"/>
      <x:c r="G17" s="16" t="str"/>
      <x:c r="H17" s="16" t="str"/>
    </x:row>
    <x:row r="18">
      <x:c r="A18" s="22" t="str">
        <x:v>4</x:v>
      </x:c>
      <x:c r="B18" s="16" t="str">
        <x:v>Defects / Evidence</x:v>
      </x:c>
      <x:c r="C18" s="16" t="str">
        <x:v>ทุก Fail ต้องมี defect ID และทุก Pass ต้องมี evidence ที่ตรวจย้อนกลับได้</x:v>
      </x:c>
      <x:c r="D18" s="16" t="str"/>
      <x:c r="E18" s="16" t="str"/>
      <x:c r="F18" s="16" t="str"/>
      <x:c r="G18" s="16" t="str"/>
      <x:c r="H18" s="16" t="str"/>
    </x:row>
    <x:row r="19">
      <x:c r="A19" s="22" t="str">
        <x:v>5</x:v>
      </x:c>
      <x:c r="B19" s="16" t="str">
        <x:v>Dashboard</x:v>
      </x:c>
      <x:c r="C19" s="16" t="str">
        <x:v>ตรวจ critical/overall pass และ open severity ก่อนเสนอ Sign-off</x:v>
      </x:c>
      <x:c r="D19" s="16" t="str"/>
      <x:c r="E19" s="16" t="str"/>
      <x:c r="F19" s="16" t="str"/>
      <x:c r="G19" s="16" t="str"/>
      <x:c r="H19" s="16" t="str"/>
    </x:row>
    <x:row r="20">
      <x:c r="A20" s="22" t="str">
        <x:v>6</x:v>
      </x:c>
      <x:c r="B20" s="16" t="str">
        <x:v>Sign-off</x:v>
      </x:c>
      <x:c r="C20" s="16" t="str">
        <x:v>ผู้มีอำนาจตัดสินใจลงชื่อ/วันที่/หลักฐาน; generator ห้ามอนุมัติแทน</x:v>
      </x:c>
      <x:c r="D20" s="16" t="str"/>
      <x:c r="E20" s="16" t="str"/>
      <x:c r="F20" s="16" t="str"/>
      <x:c r="G20" s="16" t="str"/>
      <x:c r="H20" s="16" t="str"/>
    </x:row>
    <x:row r="22" ht="24" customHeight="1">
      <x:c r="A22" s="18" t="str">
        <x:v>ข้อควบคุมสำคัญ</x:v>
      </x:c>
      <x:c r="B22" s="18"/>
      <x:c r="C22" s="18"/>
      <x:c r="D22" s="18"/>
      <x:c r="E22" s="18"/>
      <x:c r="F22" s="18"/>
      <x:c r="G22" s="18"/>
      <x:c r="H22" s="18"/>
    </x:row>
    <x:row r="23">
      <x:c r="A23" s="16" t="str">
        <x:v>•</x:v>
      </x:c>
      <x:c r="B23" s="16" t="str">
        <x:v>Automated E2E เป็น supporting evidence และต้อง rerun เมื่อ tracked source/test hash เปลี่ยน</x:v>
      </x:c>
      <x:c r="C23" s="16" t="str"/>
      <x:c r="D23" s="16" t="str"/>
      <x:c r="E23" s="16" t="str"/>
      <x:c r="F23" s="16" t="str"/>
      <x:c r="G23" s="16" t="str"/>
      <x:c r="H23" s="16" t="str"/>
    </x:row>
    <x:row r="24">
      <x:c r="A24" s="16" t="str">
        <x:v>•</x:v>
      </x:c>
      <x:c r="B24" s="16" t="str">
        <x:v>Critical ต้อง Pass 100%; ห้ามปิด defect หรือเปลี่ยน Fail เป็น Pass โดยไม่มี retest evidence</x:v>
      </x:c>
      <x:c r="C24" s="16" t="str"/>
      <x:c r="D24" s="16" t="str"/>
      <x:c r="E24" s="16" t="str"/>
      <x:c r="F24" s="16" t="str"/>
      <x:c r="G24" s="16" t="str"/>
      <x:c r="H24" s="16" t="str"/>
    </x:row>
    <x:row r="25">
      <x:c r="A25" s="16" t="str">
        <x:v>•</x:v>
      </x:c>
      <x:c r="B25" s="16" t="str">
        <x:v>TruckScale online, WINSpeed reconciliation, security, performance และ restore เป็น manual gates</x:v>
      </x:c>
      <x:c r="C25" s="16" t="str"/>
      <x:c r="D25" s="16" t="str"/>
      <x:c r="E25" s="16" t="str"/>
      <x:c r="F25" s="16" t="str"/>
      <x:c r="G25" s="16" t="str"/>
      <x:c r="H25" s="16" t="str"/>
    </x:row>
    <x:row r="26">
      <x:c r="A26" s="16" t="str">
        <x:v>•</x:v>
      </x:c>
      <x:c r="B26" s="16" t="str">
        <x:v>ใช้ข้อมูล synthetic/masked และไม่ฝัง secret/PII ที่ไม่จำเป็น</x:v>
      </x:c>
      <x:c r="C26" s="16" t="str"/>
      <x:c r="D26" s="16" t="str"/>
      <x:c r="E26" s="16" t="str"/>
      <x:c r="F26" s="16" t="str"/>
      <x:c r="G26" s="16" t="str"/>
      <x:c r="H26" s="16" t="str"/>
    </x:row>
    <x:row r="27">
      <x:c r="A27" s="16" t="str">
        <x:v>•</x:v>
      </x:c>
      <x:c r="B27" s="16" t="str">
        <x:v>Workbook นี้เป็น Review candidate จนกว่าจะมีชื่อ/วันที่/decision/evidence ครบ</x:v>
      </x:c>
      <x:c r="C27" s="16" t="str"/>
      <x:c r="D27" s="16" t="str"/>
      <x:c r="E27" s="16" t="str"/>
      <x:c r="F27" s="16" t="str"/>
      <x:c r="G27" s="16" t="str"/>
      <x:c r="H27" s="16" t="str"/>
    </x:row>
  </x:sheetData>
  <x:mergeCells>
    <x:mergeCell ref="A1:H1"/>
    <x:mergeCell ref="A2:H2"/>
    <x:mergeCell ref="A14:H14"/>
    <x:mergeCell ref="C15:H15"/>
    <x:mergeCell ref="C16:H16"/>
    <x:mergeCell ref="C17:H17"/>
    <x:mergeCell ref="C18:H18"/>
    <x:mergeCell ref="C19:H19"/>
    <x:mergeCell ref="C20:H20"/>
    <x:mergeCell ref="A22:H2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6" customHeight="1">
      <x:c r="A1" s="3" t="str">
        <x:v>Run Control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กรอกให้ครบก่อนเริ่มทดสอบ — ช่องว่างหมายถึง Entry Gate ยังไม่ผ่าน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8" t="str">
        <x:v>Baseline and environment</x:v>
      </x:c>
      <x:c r="B4" s="18"/>
      <x:c r="C4" s="18"/>
      <x:c r="D4" s="18"/>
      <x:c r="E4" s="18"/>
      <x:c r="F4" s="18"/>
      <x:c r="G4" s="18"/>
      <x:c r="H4" s="18"/>
    </x:row>
    <x:row r="5">
      <x:c r="A5" s="12" t="str">
        <x:v>Run ID</x:v>
      </x:c>
      <x:c r="B5" s="16" t="str"/>
      <x:c r="C5" s="12" t="str">
        <x:v>Environment</x:v>
      </x:c>
      <x:c r="D5" s="16" t="str">
        <x:v>UAT</x:v>
      </x:c>
      <x:c r="E5" s="12" t="str">
        <x:v>Application version</x:v>
      </x:c>
      <x:c r="F5" s="16" t="str">
        <x:v>1.0.0</x:v>
      </x:c>
      <x:c r="G5" s="12" t="str">
        <x:v>Source commit</x:v>
      </x:c>
      <x:c r="H5" s="16" t="str">
        <x:v>8dc03bd0d6c6bdfc765c6b61158df6f2b1e12301</x:v>
      </x:c>
    </x:row>
    <x:row r="6">
      <x:c r="A6" s="12" t="str">
        <x:v>Source hash</x:v>
      </x:c>
      <x:c r="B6" s="16" t="str"/>
      <x:c r="C6" s="12" t="str">
        <x:v>Test hash</x:v>
      </x:c>
      <x:c r="D6" s="16" t="str"/>
      <x:c r="E6" s="12" t="str">
        <x:v>Configuration baseline</x:v>
      </x:c>
      <x:c r="F6" s="16" t="str"/>
      <x:c r="G6" s="12" t="str">
        <x:v>Test data batch</x:v>
      </x:c>
      <x:c r="H6" s="16" t="str"/>
    </x:row>
    <x:row r="7">
      <x:c r="A7" s="12" t="str">
        <x:v>Frontend URL</x:v>
      </x:c>
      <x:c r="B7" s="16" t="str"/>
      <x:c r="C7" s="12" t="str">
        <x:v>API URL</x:v>
      </x:c>
      <x:c r="D7" s="16" t="str"/>
      <x:c r="E7" s="12" t="str">
        <x:v>SQL Server</x:v>
      </x:c>
      <x:c r="F7" s="16" t="str">
        <x:v>Unknown</x:v>
      </x:c>
      <x:c r="G7" s="12" t="str">
        <x:v>TruckScale MySQL</x:v>
      </x:c>
      <x:c r="H7" s="16" t="str">
        <x:v>Unknown</x:v>
      </x:c>
    </x:row>
    <x:row r="8">
      <x:c r="A8" s="12" t="str">
        <x:v>WINSpeed connectivity</x:v>
      </x:c>
      <x:c r="B8" s="16" t="str">
        <x:v>Unknown</x:v>
      </x:c>
      <x:c r="C8" s="12" t="str">
        <x:v>Backup ID</x:v>
      </x:c>
      <x:c r="D8" s="16" t="str"/>
      <x:c r="E8" s="12" t="str">
        <x:v>Evidence root</x:v>
      </x:c>
      <x:c r="F8" s="16" t="str"/>
      <x:c r="G8" s="12" t="str">
        <x:v>Defect tracker</x:v>
      </x:c>
      <x:c r="H8" s="16" t="str"/>
    </x:row>
    <x:row r="9">
      <x:c r="A9" s="12" t="str">
        <x:v>Start date/time</x:v>
      </x:c>
      <x:c r="B9" s="16" t="str"/>
      <x:c r="C9" s="12" t="str">
        <x:v>End date/time</x:v>
      </x:c>
      <x:c r="D9" s="16" t="str"/>
      <x:c r="E9" s="12" t="str">
        <x:v>QA Lead</x:v>
      </x:c>
      <x:c r="F9" s="16" t="str"/>
      <x:c r="G9" s="12" t="str">
        <x:v>Business Owner</x:v>
      </x:c>
      <x:c r="H9" s="16" t="str"/>
    </x:row>
    <x:row r="10">
      <x:c r="A10" s="12" t="str">
        <x:v>Release candidate</x:v>
      </x:c>
      <x:c r="B10" s="16" t="str">
        <x:v>No</x:v>
      </x:c>
      <x:c r="C10" s="12" t="str">
        <x:v>Change freeze</x:v>
      </x:c>
      <x:c r="D10" s="16" t="str">
        <x:v>No</x:v>
      </x:c>
      <x:c r="E10" s="12" t="str">
        <x:v>Entry decision</x:v>
      </x:c>
      <x:c r="F10" s="16" t="str">
        <x:v>Not Ready</x:v>
      </x:c>
      <x:c r="G10" s="12" t="str">
        <x:v>Decision evidence</x:v>
      </x:c>
      <x:c r="H10" s="16" t="str"/>
    </x:row>
    <x:row r="12" ht="24" customHeight="1">
      <x:c r="A12" s="18" t="str">
        <x:v>Entry checklist</x:v>
      </x:c>
      <x:c r="B12" s="18"/>
      <x:c r="C12" s="18"/>
      <x:c r="D12" s="18"/>
      <x:c r="E12" s="18"/>
      <x:c r="F12" s="18"/>
      <x:c r="G12" s="18"/>
      <x:c r="H12" s="18"/>
    </x:row>
    <x:row r="13">
      <x:c r="A13" s="12" t="str">
        <x:v>ID</x:v>
      </x:c>
      <x:c r="B13" s="12" t="str">
        <x:v>Control</x:v>
      </x:c>
      <x:c r="C13" s="12" t="str">
        <x:v>Owner</x:v>
      </x:c>
      <x:c r="D13" s="12" t="str">
        <x:v>Status</x:v>
      </x:c>
      <x:c r="E13" s="12" t="str">
        <x:v>Evidence/Reference</x:v>
      </x:c>
      <x:c r="F13" s="12" t="str">
        <x:v>Reviewer</x:v>
      </x:c>
      <x:c r="G13" s="12" t="str">
        <x:v>Review date</x:v>
      </x:c>
      <x:c r="H13" s="12" t="str">
        <x:v>Comment</x:v>
      </x:c>
    </x:row>
    <x:row r="14">
      <x:c r="A14" s="16" t="str">
        <x:v>ENT-01</x:v>
      </x:c>
      <x:c r="B14" s="16" t="str">
        <x:v>Build/commit/source/test hash ถูกบันทึกและตรงกัน</x:v>
      </x:c>
      <x:c r="C14" s="16" t="str">
        <x:v>QA</x:v>
      </x:c>
      <x:c r="D14" s="16" t="str">
        <x:v>Not Checked</x:v>
      </x:c>
      <x:c r="E14" s="16" t="str"/>
      <x:c r="F14" s="16" t="str"/>
      <x:c r="G14" s="16" t="str"/>
      <x:c r="H14" s="16" t="str"/>
    </x:row>
    <x:row r="15">
      <x:c r="A15" s="16" t="str">
        <x:v>ENT-02</x:v>
      </x:c>
      <x:c r="B15" s="16" t="str">
        <x:v>Frontend/API/SQL health ผ่านและ dependency state ถูกระบุ</x:v>
      </x:c>
      <x:c r="C15" s="16" t="str">
        <x:v>IT</x:v>
      </x:c>
      <x:c r="D15" s="16" t="str">
        <x:v>Not Checked</x:v>
      </x:c>
      <x:c r="E15" s="16" t="str"/>
      <x:c r="F15" s="16" t="str"/>
      <x:c r="G15" s="16" t="str"/>
      <x:c r="H15" s="16" t="str"/>
    </x:row>
    <x:row r="16">
      <x:c r="A16" s="16" t="str">
        <x:v>ENT-03</x:v>
      </x:c>
      <x:c r="B16" s="16" t="str">
        <x:v>Test users/roles พร้อมและใช้ least privilege</x:v>
      </x:c>
      <x:c r="C16" s="16" t="str">
        <x:v>Admin/Security</x:v>
      </x:c>
      <x:c r="D16" s="16" t="str">
        <x:v>Not Checked</x:v>
      </x:c>
      <x:c r="E16" s="16" t="str"/>
      <x:c r="F16" s="16" t="str"/>
      <x:c r="G16" s="16" t="str"/>
      <x:c r="H16" s="16" t="str"/>
    </x:row>
    <x:row r="17">
      <x:c r="A17" s="16" t="str">
        <x:v>ENT-04</x:v>
      </x:c>
      <x:c r="B17" s="16" t="str">
        <x:v>Synthetic/masked test data พร้อมและ reset ได้</x:v>
      </x:c>
      <x:c r="C17" s="16" t="str">
        <x:v>Data Owner</x:v>
      </x:c>
      <x:c r="D17" s="16" t="str">
        <x:v>Not Checked</x:v>
      </x:c>
      <x:c r="E17" s="16" t="str"/>
      <x:c r="F17" s="16" t="str"/>
      <x:c r="G17" s="16" t="str"/>
      <x:c r="H17" s="16" t="str"/>
    </x:row>
    <x:row r="18">
      <x:c r="A18" s="16" t="str">
        <x:v>ENT-05</x:v>
      </x:c>
      <x:c r="B18" s="16" t="str">
        <x:v>Evidence root, defect tracker และ communication channel พร้อม</x:v>
      </x:c>
      <x:c r="C18" s="16" t="str">
        <x:v>QA</x:v>
      </x:c>
      <x:c r="D18" s="16" t="str">
        <x:v>Not Checked</x:v>
      </x:c>
      <x:c r="E18" s="16" t="str"/>
      <x:c r="F18" s="16" t="str"/>
      <x:c r="G18" s="16" t="str"/>
      <x:c r="H18" s="16" t="str"/>
    </x:row>
    <x:row r="19">
      <x:c r="A19" s="16" t="str">
        <x:v>ENT-06</x:v>
      </x:c>
      <x:c r="B19" s="16" t="str">
        <x:v>Backup/rollback owner และ restore prerequisite พร้อม</x:v>
      </x:c>
      <x:c r="C19" s="16" t="str">
        <x:v>IT</x:v>
      </x:c>
      <x:c r="D19" s="16" t="str">
        <x:v>Not Checked</x:v>
      </x:c>
      <x:c r="E19" s="16" t="str"/>
      <x:c r="F19" s="16" t="str"/>
      <x:c r="G19" s="16" t="str"/>
      <x:c r="H19" s="16" t="str"/>
    </x:row>
    <x:row r="20">
      <x:c r="A20" s="16" t="str">
        <x:v>ENT-07</x:v>
      </x:c>
      <x:c r="B20" s="16" t="str">
        <x:v>Required reviewers และ run schedule ได้รับการยืนยัน</x:v>
      </x:c>
      <x:c r="C20" s="16" t="str">
        <x:v>Business Owner</x:v>
      </x:c>
      <x:c r="D20" s="16" t="str">
        <x:v>Not Checked</x:v>
      </x:c>
      <x:c r="E20" s="16" t="str"/>
      <x:c r="F20" s="16" t="str"/>
      <x:c r="G20" s="16" t="str"/>
      <x:c r="H20" s="16" t="str"/>
    </x:row>
  </x:sheetData>
  <x:mergeCells>
    <x:mergeCell ref="A1:H1"/>
    <x:mergeCell ref="A2:H2"/>
    <x:mergeCell ref="A4:H4"/>
    <x:mergeCell ref="A12:H12"/>
  </x:mergeCells>
  <x:conditionalFormatting sqref="D14:D20">
    <x:cfRule type="containsText" dxfId="0" priority="1" operator="containsText" text="Pass"/>
    <x:cfRule type="containsText" dxfId="1" priority="2" operator="containsText" text="Fail"/>
  </x:conditionalFormatting>
  <x:dataValidations count="4">
    <x:dataValidation type="list" sqref="F7:H8">
      <x:formula1>"Online,Degraded,Offline,Unknown"</x:formula1>
    </x:dataValidation>
    <x:dataValidation type="list" sqref="B10:D10">
      <x:formula1>"Yes,No"</x:formula1>
    </x:dataValidation>
    <x:dataValidation type="list" sqref="F10">
      <x:formula1>"Ready,Not Ready,Conditional"</x:formula1>
    </x:dataValidation>
    <x:dataValidation type="list" sqref="D14:D20">
      <x:formula1>"Not Checked,Pass,Fail,N/A"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6" customHeight="1">
      <x:c r="A1" s="3" t="str">
        <x:v>UAT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Live formulas from UAT Cases and Defects • Do not use as approval without evidence review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4" customHeight="1">
      <x:c r="A4" s="18" t="str">
        <x:v>Case status</x:v>
      </x:c>
      <x:c r="B4" s="18"/>
      <x:c r="C4" s="18"/>
      <x:c r="D4" s="18"/>
      <x:c r="E4" s="18"/>
      <x:c r="F4" s="18"/>
    </x:row>
    <x:row r="5">
      <x:c r="A5" s="12" t="str">
        <x:v>Metric</x:v>
      </x:c>
      <x:c r="B5" s="12" t="str">
        <x:v>Value</x:v>
      </x:c>
      <x:c r="D5" s="12" t="str">
        <x:v>Quality gate</x:v>
      </x:c>
      <x:c r="E5" s="12" t="str">
        <x:v>Target</x:v>
      </x:c>
      <x:c r="F5" s="12" t="str">
        <x:v>Result</x:v>
      </x:c>
    </x:row>
    <x:row r="6">
      <x:c r="A6" s="16" t="str">
        <x:v>Total</x:v>
      </x:c>
      <x:c r="B6" s="16" t="n">
        <x:f>COUNTA('UAT Cases'!$A$5:$A$22)</x:f>
        <x:v>18</x:v>
      </x:c>
      <x:c r="D6" s="16" t="str">
        <x:v>Critical pass</x:v>
      </x:c>
      <x:c r="E6" s="16" t="str">
        <x:v>100%</x:v>
      </x:c>
      <x:c r="F6" s="16" t="str">
        <x:f>IF(COUNTIFS('UAT Cases'!$G$5:$G$22,"Yes",'UAT Cases'!$N$5:$N$22,"&lt;&gt;Pass")=0,"PASS","NOT READY")</x:f>
        <x:v>NOT READY</x:v>
      </x:c>
    </x:row>
    <x:row r="7">
      <x:c r="A7" s="16" t="str">
        <x:v>Pass</x:v>
      </x:c>
      <x:c r="B7" s="16" t="n">
        <x:f>COUNTIF('UAT Cases'!$N$5:$N$22,"Pass")</x:f>
        <x:v>0</x:v>
      </x:c>
      <x:c r="D7" s="16" t="str">
        <x:v>Overall pass</x:v>
      </x:c>
      <x:c r="E7" s="16" t="str">
        <x:v>&gt;=90%</x:v>
      </x:c>
      <x:c r="F7" s="16" t="str">
        <x:f>IF(B6=0,"NOT READY",IF(B7/B6&gt;=0.9,"PASS","NOT READY"))</x:f>
        <x:v>NOT READY</x:v>
      </x:c>
    </x:row>
    <x:row r="8">
      <x:c r="A8" s="16" t="str">
        <x:v>Fail</x:v>
      </x:c>
      <x:c r="B8" s="16" t="n">
        <x:f>COUNTIF('UAT Cases'!$N$5:$N$22,"Fail")</x:f>
        <x:v>0</x:v>
      </x:c>
      <x:c r="D8" s="16" t="str">
        <x:v>Sev-1 open</x:v>
      </x:c>
      <x:c r="E8" s="16" t="str">
        <x:v>0</x:v>
      </x:c>
      <x:c r="F8" s="16" t="n">
        <x:f>COUNTIFS(Defects!$C$5:$C$34,"Sev-1",Defects!$H$5:$H$34,"&lt;&gt;Closed")</x:f>
        <x:v>0</x:v>
      </x:c>
    </x:row>
    <x:row r="9">
      <x:c r="A9" s="16" t="str">
        <x:v>Blocked</x:v>
      </x:c>
      <x:c r="B9" s="16" t="n">
        <x:f>COUNTIF('UAT Cases'!$N$5:$N$22,"Blocked")</x:f>
        <x:v>0</x:v>
      </x:c>
      <x:c r="D9" s="16" t="str">
        <x:v>Sev-2 open</x:v>
      </x:c>
      <x:c r="E9" s="16" t="str">
        <x:v>0</x:v>
      </x:c>
      <x:c r="F9" s="16" t="n">
        <x:f>COUNTIFS(Defects!$C$5:$C$34,"Sev-2",Defects!$H$5:$H$34,"&lt;&gt;Closed")</x:f>
        <x:v>0</x:v>
      </x:c>
    </x:row>
    <x:row r="10">
      <x:c r="A10" s="16" t="str">
        <x:v>Not Run</x:v>
      </x:c>
      <x:c r="B10" s="16" t="n">
        <x:f>COUNTIF('UAT Cases'!$N$5:$N$22,"Not Run")</x:f>
        <x:v>18</x:v>
      </x:c>
      <x:c r="D10" s="16" t="str">
        <x:v>Final readiness</x:v>
      </x:c>
      <x:c r="E10" s="16" t="str">
        <x:v>All manual gates + signatures</x:v>
      </x:c>
      <x:c r="F10" s="16" t="str">
        <x:v>Pending</x:v>
      </x:c>
    </x:row>
    <x:row r="12" ht="24" customHeight="1">
      <x:c r="A12" s="18" t="str">
        <x:v>Manual acceptance gates</x:v>
      </x:c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>
      <x:c r="A13" s="12" t="str">
        <x:v>Gate</x:v>
      </x:c>
      <x:c r="B13" s="12" t="str">
        <x:v>TruckScale Online</x:v>
      </x:c>
      <x:c r="C13" s="12" t="str">
        <x:v>WINSpeed Reconcile</x:v>
      </x:c>
      <x:c r="D13" s="12" t="str">
        <x:v>Rebate/CN</x:v>
      </x:c>
      <x:c r="E13" s="12" t="str">
        <x:v>Giveaway</x:v>
      </x:c>
      <x:c r="F13" s="12" t="str">
        <x:v>Paper Exception</x:v>
      </x:c>
      <x:c r="G13" s="12" t="str">
        <x:v>Backup/Restore</x:v>
      </x:c>
      <x:c r="H13" s="12" t="str">
        <x:v>RBAC/Security</x:v>
      </x:c>
      <x:c r="I13" s="12" t="str">
        <x:v>Performance</x:v>
      </x:c>
      <x:c r="J13" s="12" t="str">
        <x:v>Evidence Review</x:v>
      </x:c>
      <x:c r="K13" s="12" t="str">
        <x:v>Signatures</x:v>
      </x:c>
      <x:c r="L13" s="12" t="str">
        <x:v>Final</x:v>
      </x:c>
    </x:row>
    <x:row r="14">
      <x:c r="A14" s="16" t="str">
        <x:v>Status</x:v>
      </x:c>
      <x:c r="B14" s="16" t="str">
        <x:v>Pending</x:v>
      </x:c>
      <x:c r="C14" s="16" t="str">
        <x:v>Pending</x:v>
      </x:c>
      <x:c r="D14" s="16" t="str">
        <x:v>Pending</x:v>
      </x:c>
      <x:c r="E14" s="16" t="str">
        <x:v>Pending</x:v>
      </x:c>
      <x:c r="F14" s="16" t="str">
        <x:v>Pending</x:v>
      </x:c>
      <x:c r="G14" s="16" t="str">
        <x:v>Pending</x:v>
      </x:c>
      <x:c r="H14" s="16" t="str">
        <x:v>Pending</x:v>
      </x:c>
      <x:c r="I14" s="16" t="str">
        <x:v>Pending</x:v>
      </x:c>
      <x:c r="J14" s="16" t="str">
        <x:v>Pending</x:v>
      </x:c>
      <x:c r="K14" s="16" t="str">
        <x:v>Pending</x:v>
      </x:c>
      <x:c r="L14" s="16" t="str">
        <x:v>Pending</x:v>
      </x:c>
    </x:row>
  </x:sheetData>
  <x:mergeCells>
    <x:mergeCell ref="A1:L1"/>
    <x:mergeCell ref="A2:L2"/>
    <x:mergeCell ref="A4:F4"/>
    <x:mergeCell ref="A12:L12"/>
  </x:mergeCells>
  <x:conditionalFormatting sqref="F6:F10">
    <x:cfRule type="containsText" dxfId="11" priority="1" operator="containsText" text="PASS"/>
    <x:cfRule type="containsText" dxfId="12" priority="2" operator="containsText" text="NOT READY"/>
  </x:conditionalFormatting>
  <x:conditionalFormatting sqref="B14:L14">
    <x:cfRule type="containsText" dxfId="13" priority="3" operator="containsText" text="Pass"/>
    <x:cfRule type="containsText" dxfId="14" priority="4" operator="containsText" text="Fail"/>
  </x:conditionalFormatting>
  <x:dataValidations count="1">
    <x:dataValidation type="list" sqref="B14:L14">
      <x:formula1>"Pending,Pass,Fail,N/A"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42" hidden="0" customWidth="1"/>
    <x:col min="5" max="5" width="18" hidden="0" customWidth="1"/>
    <x:col min="6" max="6" width="20" hidden="0" customWidth="1"/>
    <x:col min="7" max="7" width="10" hidden="0" customWidth="1"/>
    <x:col min="8" max="8" width="40" hidden="0" customWidth="1"/>
    <x:col min="9" max="9" width="34" hidden="0" customWidth="1"/>
    <x:col min="10" max="10" width="54" hidden="0" customWidth="1"/>
    <x:col min="11" max="11" width="44" hidden="0" customWidth="1"/>
    <x:col min="12" max="12" width="40" hidden="0" customWidth="1"/>
    <x:col min="13" max="13" width="30" hidden="0" customWidth="1"/>
    <x:col min="14" max="14" width="13" hidden="0" customWidth="1"/>
    <x:col min="15" max="15" width="38" hidden="0" customWidth="1"/>
    <x:col min="16" max="16" width="15" hidden="0" customWidth="1"/>
    <x:col min="17" max="17" width="18" hidden="0" customWidth="1"/>
    <x:col min="18" max="18" width="15" hidden="0" customWidth="1"/>
    <x:col min="19" max="19" width="18" hidden="0" customWidth="1"/>
    <x:col min="20" max="20" width="15" hidden="0" customWidth="1"/>
  </x:cols>
  <x:sheetData>
    <x:row r="1" ht="36" customHeight="1">
      <x:c r="A1" s="3" t="str">
        <x:v>UAT Cases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18 controlled cases • Automated and manual acceptance • Status starts as Not Run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>
      <x:c r="A4" s="12" t="str">
        <x:v>Case ID</x:v>
      </x:c>
      <x:c r="B4" s="12" t="str">
        <x:v>Type</x:v>
      </x:c>
      <x:c r="C4" s="12" t="str">
        <x:v>Area</x:v>
      </x:c>
      <x:c r="D4" s="12" t="str">
        <x:v>Scenario / วัตถุประสงค์</x:v>
      </x:c>
      <x:c r="E4" s="12" t="str">
        <x:v>Requirement IDs</x:v>
      </x:c>
      <x:c r="F4" s="12" t="str">
        <x:v>Actor</x:v>
      </x:c>
      <x:c r="G4" s="12" t="str">
        <x:v>Critical</x:v>
      </x:c>
      <x:c r="H4" s="12" t="str">
        <x:v>Preconditions</x:v>
      </x:c>
      <x:c r="I4" s="12" t="str">
        <x:v>Test Data</x:v>
      </x:c>
      <x:c r="J4" s="12" t="str">
        <x:v>Test Steps</x:v>
      </x:c>
      <x:c r="K4" s="12" t="str">
        <x:v>Expected Result</x:v>
      </x:c>
      <x:c r="L4" s="12" t="str">
        <x:v>Required Evidence</x:v>
      </x:c>
      <x:c r="M4" s="12" t="str">
        <x:v>Automation Ref</x:v>
      </x:c>
      <x:c r="N4" s="12" t="str">
        <x:v>Status</x:v>
      </x:c>
      <x:c r="O4" s="12" t="str">
        <x:v>Actual Result</x:v>
      </x:c>
      <x:c r="P4" s="12" t="str">
        <x:v>Defect ID</x:v>
      </x:c>
      <x:c r="Q4" s="12" t="str">
        <x:v>Tested By</x:v>
      </x:c>
      <x:c r="R4" s="12" t="str">
        <x:v>Test Date</x:v>
      </x:c>
      <x:c r="S4" s="12" t="str">
        <x:v>Reviewer</x:v>
      </x:c>
      <x:c r="T4" s="12" t="str">
        <x:v>Review Date</x:v>
      </x:c>
    </x:row>
    <x:row r="5" ht="78" customHeight="1">
      <x:c r="A5" s="16" t="str">
        <x:v>UAT-E2E-001</x:v>
      </x:c>
      <x:c r="B5" s="16" t="str">
        <x:v>Automated</x:v>
      </x:c>
      <x:c r="C5" s="16" t="str">
        <x:v>Sales / Verification</x:v>
      </x:c>
      <x:c r="D5" s="16" t="str">
        <x:v>ทริปหลายบิลถูกบันทึกครบและถูกกั้นก่อนยืนยันเมื่อยังไม่ตรวจซ้ำ</x:v>
      </x:c>
      <x:c r="E5" s="16" t="str">
        <x:v>FR-001, FR-002, FR-022</x:v>
      </x:c>
      <x:c r="F5" s="16" t="str">
        <x:v>SALES / COUNTER_SALES</x:v>
      </x:c>
      <x:c r="G5" s="16" t="str">
        <x:v>Yes</x:v>
      </x:c>
      <x:c r="H5" s="16" t="str">
        <x:v>มีผู้ใช้ทดสอบ SALES, ลูกค้าทดสอบ และสินค้าอย่างน้อย 2 รายการ</x:v>
      </x:c>
      <x:c r="I5" s="16" t="str">
        <x:v>ทะเบียนรถรูปแบบ CMP-&lt;run&gt;; สองบิลในทริปเดียว; ปริมาณทศนิยม</x:v>
      </x:c>
      <x:c r="J5" s="16" t="str">
        <x:v>1. เข้าสู่ระบบด้วย SALES และเปิด Sales Portal
2. สร้างบิลแรก เลือกลูกค้า สินค้า ปริมาณ และทะเบียนรถ
3. เพิ่มบิลที่สองในทริปเดียวด้วย prefix ต่างกัน
4. ตรวจว่าทั้งสองบิลอยู่สถานะ DRAFT
5. ลอง confirm ก่อน verification</x:v>
      </x:c>
      <x:c r="K5" s="16" t="str">
        <x:v>ทั้งสองบิล trace ได้ด้วยทะเบียนเดียวกันและ API ปฏิเสธการ confirm พร้อมข้อความให้ตรวจซ้ำ</x:v>
      </x:c>
      <x:c r="L5" s="16" t="str">
        <x:v>Playwright attachment multi-bill-gate.json + screenshot + API response</x:v>
      </x:c>
      <x:c r="M5" s="16" t="str">
        <x:v>e2e/comprehensive-sales.spec.ts</x:v>
      </x:c>
      <x:c r="N5" s="16" t="str">
        <x:v>Not Run</x:v>
      </x:c>
      <x:c r="O5" s="16" t="str"/>
      <x:c r="P5" s="16" t="str"/>
      <x:c r="Q5" s="16" t="str"/>
      <x:c r="R5" s="16" t="str"/>
      <x:c r="S5" s="16" t="str"/>
      <x:c r="T5" s="16" t="str"/>
    </x:row>
    <x:row r="6" ht="78" customHeight="1">
      <x:c r="A6" s="16" t="str">
        <x:v>UAT-E2E-002</x:v>
      </x:c>
      <x:c r="B6" s="16" t="str">
        <x:v>Automated</x:v>
      </x:c>
      <x:c r="C6" s="16" t="str">
        <x:v>Sales Order</x:v>
      </x:c>
      <x:c r="D6" s="16" t="str">
        <x:v>SALES สร้าง SO draft ที่ตรวจสอบย้อนกลับได้</x:v>
      </x:c>
      <x:c r="E6" s="16" t="str">
        <x:v>FR-001, FR-002</x:v>
      </x:c>
      <x:c r="F6" s="16" t="str">
        <x:v>SALES</x:v>
      </x:c>
      <x:c r="G6" s="16" t="str">
        <x:v>Yes</x:v>
      </x:c>
      <x:c r="H6" s="16" t="str">
        <x:v>มีสิทธิ์ SALES, ลูกค้าและสินค้าทดสอบพร้อมใช้</x:v>
      </x:c>
      <x:c r="I6" s="16" t="str">
        <x:v>ทะเบียน UAT-&lt;run&gt;; ลูกค้า คุณสมศักดิ์ ทดสอบ; ปริมาณ 2</x:v>
      </x:c>
      <x:c r="J6" s="16" t="str">
        <x:v>1. เข้าสู่ระบบด้วย SALES
2. เปิดเมนูขายและกดสร้างบิล
3. เลือกลูกค้า ระบุทะเบียน และเริ่มจัดออร์เดอร์
4. เลือกสินค้า ระบุจำนวน และบันทึกการจัดรถ
5. ตรวจ WfRef, line item และสถานะผ่าน API</x:v>
      </x:c>
      <x:c r="K6" s="16" t="str">
        <x:v>ได้ WfRef รูปแบบที่กำหนด มีอย่างน้อย 1 line และสถานะ DRAFT</x:v>
      </x:c>
      <x:c r="L6" s="16" t="str">
        <x:v>created-order.json + screenshot + SalesOrder audit</x:v>
      </x:c>
      <x:c r="M6" s="16" t="str">
        <x:v>e2e/uat-full-loop.spec.ts:25</x:v>
      </x:c>
      <x:c r="N6" s="16" t="str">
        <x:v>Not Run</x:v>
      </x:c>
      <x:c r="O6" s="16" t="str"/>
      <x:c r="P6" s="16" t="str"/>
      <x:c r="Q6" s="16" t="str"/>
      <x:c r="R6" s="16" t="str"/>
      <x:c r="S6" s="16" t="str"/>
      <x:c r="T6" s="16" t="str"/>
    </x:row>
    <x:row r="7" ht="78" customHeight="1">
      <x:c r="A7" s="16" t="str">
        <x:v>UAT-E2E-003</x:v>
      </x:c>
      <x:c r="B7" s="16" t="str">
        <x:v>Automated</x:v>
      </x:c>
      <x:c r="C7" s="16" t="str">
        <x:v>Approval / Paper Trail</x:v>
      </x:c>
      <x:c r="D7" s="16" t="str">
        <x:v>MANAGER ตรวจและ ADMIN ยืนยัน SO เป็นรอจัดส่ง</x:v>
      </x:c>
      <x:c r="E7" s="16" t="str">
        <x:v>FR-001, FR-018, FR-022</x:v>
      </x:c>
      <x:c r="F7" s="16" t="str">
        <x:v>MANAGER / ADMIN</x:v>
      </x:c>
      <x:c r="G7" s="16" t="str">
        <x:v>Yes</x:v>
      </x:c>
      <x:c r="H7" s="16" t="str">
        <x:v>UAT-E2E-002 ผ่านและมี WfRef ที่สร้างใน run เดียวกัน</x:v>
      </x:c>
      <x:c r="I7" s="16" t="str">
        <x:v>WfRef/Order ID จาก UAT-E2E-002</x:v>
      </x:c>
      <x:c r="J7" s="16" t="str">
        <x:v>1. MANAGER เปิด Paper Trail และค้นหา WfRef
2. กดตรวจและยืนยันว่ามี audit action VERIFIED
3. ออกจากระบบและเข้าสู่ระบบด้วย ADMIN
4. ค้นหาเอกสารเดิมและยืนยันเป็นรอจัดส่ง
5. ตรวจสถานะผ่าน API</x:v>
      </x:c>
      <x:c r="K7" s="16" t="str">
        <x:v>Audit มี VERIFIED และ SO เปลี่ยนเป็น CONFIRMED โดยผู้มีสิทธิ์</x:v>
      </x:c>
      <x:c r="L7" s="16" t="str">
        <x:v>confirmed-order.json + screenshot + audit log</x:v>
      </x:c>
      <x:c r="M7" s="16" t="str">
        <x:v>e2e/uat-full-loop.spec.ts:65</x:v>
      </x:c>
      <x:c r="N7" s="16" t="str">
        <x:v>Not Run</x:v>
      </x:c>
      <x:c r="O7" s="16" t="str"/>
      <x:c r="P7" s="16" t="str"/>
      <x:c r="Q7" s="16" t="str"/>
      <x:c r="R7" s="16" t="str"/>
      <x:c r="S7" s="16" t="str"/>
      <x:c r="T7" s="16" t="str"/>
    </x:row>
    <x:row r="8" ht="78" customHeight="1">
      <x:c r="A8" s="16" t="str">
        <x:v>UAT-E2E-004</x:v>
      </x:c>
      <x:c r="B8" s="16" t="str">
        <x:v>Automated</x:v>
      </x:c>
      <x:c r="C8" s="16" t="str">
        <x:v>TruckScale</x:v>
      </x:c>
      <x:c r="D8" s="16" t="str">
        <x:v>COUNTER_SALES เห็นสถานะ TruckScale ตรงกับ health API</x:v>
      </x:c>
      <x:c r="E8" s="16" t="str">
        <x:v>FR-024, FR-030</x:v>
      </x:c>
      <x:c r="F8" s="16" t="str">
        <x:v>COUNTER_SALES</x:v>
      </x:c>
      <x:c r="G8" s="16" t="str">
        <x:v>Yes</x:v>
      </x:c>
      <x:c r="H8" s="16" t="str">
        <x:v>Frontend/API พร้อม; MySQL อาจ up หรือ down ตาม environment จริง</x:v>
      </x:c>
      <x:c r="I8" s="16" t="str">
        <x:v>ค่าจาก GET /api/health</x:v>
      </x:c>
      <x:c r="J8" s="16" t="str">
        <x:v>1. เข้าสู่ระบบด้วย COUNTER_SALES
2. เปิดกลุ่มคลัง/ชั่งและหน้า TruckScale
3. อ่านค่า db.mysql จาก health API
4. เปรียบเทียบกับข้อความสถานะบนหน้าจอ</x:v>
      </x:c>
      <x:c r="K8" s="16" t="str">
        <x:v>UI แสดงเชื่อมต่อแล้วเมื่อ mysql=up หรือเชื่อมต่อไม่ได้เมื่อ mysql=down โดยไม่แสดงสถานะเท็จ</x:v>
      </x:c>
      <x:c r="L8" s="16" t="str">
        <x:v>truckscale-health.json + screenshot + health response</x:v>
      </x:c>
      <x:c r="M8" s="16" t="str">
        <x:v>e2e/uat-full-loop.spec.ts:96</x:v>
      </x:c>
      <x:c r="N8" s="16" t="str">
        <x:v>Not Run</x:v>
      </x:c>
      <x:c r="O8" s="16" t="str"/>
      <x:c r="P8" s="16" t="str"/>
      <x:c r="Q8" s="16" t="str"/>
      <x:c r="R8" s="16" t="str"/>
      <x:c r="S8" s="16" t="str"/>
      <x:c r="T8" s="16" t="str"/>
    </x:row>
    <x:row r="9" ht="78" customHeight="1">
      <x:c r="A9" s="16" t="str">
        <x:v>UAT-E2E-005</x:v>
      </x:c>
      <x:c r="B9" s="16" t="str">
        <x:v>Automated</x:v>
      </x:c>
      <x:c r="C9" s="16" t="str">
        <x:v>Warehouse / Weigh-out</x:v>
      </x:c>
      <x:c r="D9" s="16" t="str">
        <x:v>WAREHOUSE หยิบ จัดโหลด ชั่งออก และส่งสินค้า</x:v>
      </x:c>
      <x:c r="E9" s="16" t="str">
        <x:v>FR-001, FR-019, FR-024, FR-025, FR-026</x:v>
      </x:c>
      <x:c r="F9" s="16" t="str">
        <x:v>WAREHOUSE</x:v>
      </x:c>
      <x:c r="G9" s="16" t="str">
        <x:v>Yes</x:v>
      </x:c>
      <x:c r="H9" s="16" t="str">
        <x:v>SO จาก UAT-E2E-003 อยู่สถานะ CONFIRMED</x:v>
      </x:c>
      <x:c r="I9" s="16" t="str">
        <x:v>Tare 10,000 kg; Gross 20,000 kg; Order ID/WfRef จาก run เดียวกัน</x:v>
      </x:c>
      <x:c r="J9" s="16" t="str">
        <x:v>1. ค้นหา SO ในหน้าคลัง
2. เริ่มรับสินค้าและตรวจสถานะ PICKING
3. จัดลำดับและยืนยันโหลดให้ครบทุก line
4. เปิดแท็บเครื่องชั่งและบันทึก tare/gross
5. ยืนยันส่งออกและอ่าน weigh result ผ่าน API</x:v>
      </x:c>
      <x:c r="K9" s="16" t="str">
        <x:v>สถานะเปลี่ยน PICKING → LOADED → SHIPPED และมีน้ำหนักสุทธิที่ตรวจสอบได้</x:v>
      </x:c>
      <x:c r="L9" s="16" t="str">
        <x:v>shipped-order.json + screenshot + WeighTicket/API</x:v>
      </x:c>
      <x:c r="M9" s="16" t="str">
        <x:v>e2e/uat-full-loop.spec.ts:116</x:v>
      </x:c>
      <x:c r="N9" s="16" t="str">
        <x:v>Not Run</x:v>
      </x:c>
      <x:c r="O9" s="16" t="str"/>
      <x:c r="P9" s="16" t="str"/>
      <x:c r="Q9" s="16" t="str"/>
      <x:c r="R9" s="16" t="str"/>
      <x:c r="S9" s="16" t="str"/>
      <x:c r="T9" s="16" t="str"/>
    </x:row>
    <x:row r="10" ht="78" customHeight="1">
      <x:c r="A10" s="16" t="str">
        <x:v>UAT-E2E-006</x:v>
      </x:c>
      <x:c r="B10" s="16" t="str">
        <x:v>Automated</x:v>
      </x:c>
      <x:c r="C10" s="16" t="str">
        <x:v>Audit / Paper Trail</x:v>
      </x:c>
      <x:c r="D10" s="16" t="str">
        <x:v>ADMIN ตรวจสถานะ SHIPPED และ audit trail ครบลำดับ</x:v>
      </x:c>
      <x:c r="E10" s="16" t="str">
        <x:v>FR-001, FR-004, FR-012, FR-013, FR-030</x:v>
      </x:c>
      <x:c r="F10" s="16" t="str">
        <x:v>ADMIN</x:v>
      </x:c>
      <x:c r="G10" s="16" t="str">
        <x:v>Yes</x:v>
      </x:c>
      <x:c r="H10" s="16" t="str">
        <x:v>UAT-E2E-005 ผ่าน</x:v>
      </x:c>
      <x:c r="I10" s="16" t="str">
        <x:v>Order ID/WfRef จาก full-loop run</x:v>
      </x:c>
      <x:c r="J10" s="16" t="str">
        <x:v>1. เข้าสู่ระบบด้วย ADMIN และเปิด Paper Trail
2. ค้นหา WfRef
3. ตรวจข้อความส่งออกจากตาชั่ง
4. อ่านรายละเอียด SO และ audit actions ผ่าน API</x:v>
      </x:c>
      <x:c r="K10" s="16" t="str">
        <x:v>สถานะเป็น SHIPPED และ audit มี CONFIRMED, PICKING, LOADED, SHIPPED</x:v>
      </x:c>
      <x:c r="L10" s="16" t="str">
        <x:v>uat-final-audit.json + screenshot + audit log</x:v>
      </x:c>
      <x:c r="M10" s="16" t="str">
        <x:v>e2e/uat-full-loop.spec.ts:154</x:v>
      </x:c>
      <x:c r="N10" s="16" t="str">
        <x:v>Not Run</x:v>
      </x:c>
      <x:c r="O10" s="16" t="str"/>
      <x:c r="P10" s="16" t="str"/>
      <x:c r="Q10" s="16" t="str"/>
      <x:c r="R10" s="16" t="str"/>
      <x:c r="S10" s="16" t="str"/>
      <x:c r="T10" s="16" t="str"/>
    </x:row>
    <x:row r="11" ht="78" customHeight="1">
      <x:c r="A11" s="16" t="str">
        <x:v>UAT-RBAC-001</x:v>
      </x:c>
      <x:c r="B11" s="16" t="str">
        <x:v>Automated</x:v>
      </x:c>
      <x:c r="C11" s="16" t="str">
        <x:v>RBAC</x:v>
      </x:c>
      <x:c r="D11" s="16" t="str">
        <x:v>ADMIN ใช้ Access As และกลับเป็น ADMIN ได้</x:v>
      </x:c>
      <x:c r="E11" s="16" t="str">
        <x:v>FR-018</x:v>
      </x:c>
      <x:c r="F11" s="16" t="str">
        <x:v>ADMIN</x:v>
      </x:c>
      <x:c r="G11" s="16" t="str">
        <x:v>Yes</x:v>
      </x:c>
      <x:c r="H11" s="16" t="str">
        <x:v>มีผู้ใช้ e2e_admin และ e2e_sales</x:v>
      </x:c>
      <x:c r="I11" s="16" t="str">
        <x:v>ADMIN → SALES → ADMIN</x:v>
      </x:c>
      <x:c r="J11" s="16" t="str">
        <x:v>1. Login ADMIN
2. Access As SALES
3. ยืนยันชื่อผู้ใช้
4. กลับเป็น ADMIN</x:v>
      </x:c>
      <x:c r="K11" s="16" t="str">
        <x:v>บริบทผู้ใช้เปลี่ยนและคืนกลับถูกต้องพร้อม audit ที่ตรวจสอบได้</x:v>
      </x:c>
      <x:c r="L11" s="16" t="str">
        <x:v>admin-access-as.txt + screenshot</x:v>
      </x:c>
      <x:c r="M11" s="16" t="str">
        <x:v>e2e/workflow.spec.ts:11</x:v>
      </x:c>
      <x:c r="N11" s="16" t="str">
        <x:v>Not Run</x:v>
      </x:c>
      <x:c r="O11" s="16" t="str"/>
      <x:c r="P11" s="16" t="str"/>
      <x:c r="Q11" s="16" t="str"/>
      <x:c r="R11" s="16" t="str"/>
      <x:c r="S11" s="16" t="str"/>
      <x:c r="T11" s="16" t="str"/>
    </x:row>
    <x:row r="12" ht="78" customHeight="1">
      <x:c r="A12" s="16" t="str">
        <x:v>UAT-RBAC-002</x:v>
      </x:c>
      <x:c r="B12" s="16" t="str">
        <x:v>Automated</x:v>
      </x:c>
      <x:c r="C12" s="16" t="str">
        <x:v>Quotation</x:v>
      </x:c>
      <x:c r="D12" s="16" t="str">
        <x:v>SALES เข้าถึงหน้าและคำสั่งสร้างใบเสนอราคาได้</x:v>
      </x:c>
      <x:c r="E12" s="16" t="str">
        <x:v>FR-005, FR-018</x:v>
      </x:c>
      <x:c r="F12" s="16" t="str">
        <x:v>SALES</x:v>
      </x:c>
      <x:c r="G12" s="16" t="str">
        <x:v>No</x:v>
      </x:c>
      <x:c r="H12" s="16" t="str">
        <x:v>มีสิทธิ์ SALES</x:v>
      </x:c>
      <x:c r="I12" s="16" t="str">
        <x:v>ผู้ใช้ e2e_sales</x:v>
      </x:c>
      <x:c r="J12" s="16" t="str">
        <x:v>1. Login SALES
2. เปิดเมนูเสนอราคา
3. ตรวจ heading และปุ่มสร้างใบเสนอราคา</x:v>
      </x:c>
      <x:c r="K12" s="16" t="str">
        <x:v>หน้า Quotation และคำสั่งสร้างแสดงตามสิทธิ์</x:v>
      </x:c>
      <x:c r="L12" s="16" t="str">
        <x:v>Screenshot + Playwright result</x:v>
      </x:c>
      <x:c r="M12" s="16" t="str">
        <x:v>e2e/workflow.spec.ts:26</x:v>
      </x:c>
      <x:c r="N12" s="16" t="str">
        <x:v>Not Run</x:v>
      </x:c>
      <x:c r="O12" s="16" t="str"/>
      <x:c r="P12" s="16" t="str"/>
      <x:c r="Q12" s="16" t="str"/>
      <x:c r="R12" s="16" t="str"/>
      <x:c r="S12" s="16" t="str"/>
      <x:c r="T12" s="16" t="str"/>
    </x:row>
    <x:row r="13" ht="78" customHeight="1">
      <x:c r="A13" s="16" t="str">
        <x:v>UAT-RBAC-003</x:v>
      </x:c>
      <x:c r="B13" s="16" t="str">
        <x:v>Automated</x:v>
      </x:c>
      <x:c r="C13" s="16" t="str">
        <x:v>TruckScale / RBAC</x:v>
      </x:c>
      <x:c r="D13" s="16" t="str">
        <x:v>COUNTER_SALES เข้าถึง TruckScale และเห็น health ที่ชัดเจน</x:v>
      </x:c>
      <x:c r="E13" s="16" t="str">
        <x:v>FR-018, FR-024, FR-030</x:v>
      </x:c>
      <x:c r="F13" s="16" t="str">
        <x:v>COUNTER_SALES</x:v>
      </x:c>
      <x:c r="G13" s="16" t="str">
        <x:v>Yes</x:v>
      </x:c>
      <x:c r="H13" s="16" t="str">
        <x:v>มีสิทธิ์ COUNTER_SALES</x:v>
      </x:c>
      <x:c r="I13" s="16" t="str">
        <x:v>ผู้ใช้ e2e_counter + health API</x:v>
      </x:c>
      <x:c r="J13" s="16" t="str">
        <x:v>1. Login COUNTER_SALES
2. เปิด TruckScale
3. เทียบ UI กับ db.mysql</x:v>
      </x:c>
      <x:c r="K13" s="16" t="str">
        <x:v>เข้าถึงได้และสถานะ integration ไม่กำกวม</x:v>
      </x:c>
      <x:c r="L13" s="16" t="str">
        <x:v>Screenshot + health response</x:v>
      </x:c>
      <x:c r="M13" s="16" t="str">
        <x:v>e2e/workflow.spec.ts:33</x:v>
      </x:c>
      <x:c r="N13" s="16" t="str">
        <x:v>Not Run</x:v>
      </x:c>
      <x:c r="O13" s="16" t="str"/>
      <x:c r="P13" s="16" t="str"/>
      <x:c r="Q13" s="16" t="str"/>
      <x:c r="R13" s="16" t="str"/>
      <x:c r="S13" s="16" t="str"/>
      <x:c r="T13" s="16" t="str"/>
    </x:row>
    <x:row r="14" ht="78" customHeight="1">
      <x:c r="A14" s="16" t="str">
        <x:v>UAT-RBAC-004</x:v>
      </x:c>
      <x:c r="B14" s="16" t="str">
        <x:v>Automated</x:v>
      </x:c>
      <x:c r="C14" s="16" t="str">
        <x:v>Warehouse / RBAC</x:v>
      </x:c>
      <x:c r="D14" s="16" t="str">
        <x:v>WAREHOUSE เข้าถึงคิวโหลดและคิวชั่งออกได้</x:v>
      </x:c>
      <x:c r="E14" s="16" t="str">
        <x:v>FR-018, FR-019, FR-025</x:v>
      </x:c>
      <x:c r="F14" s="16" t="str">
        <x:v>WAREHOUSE</x:v>
      </x:c>
      <x:c r="G14" s="16" t="str">
        <x:v>Yes</x:v>
      </x:c>
      <x:c r="H14" s="16" t="str">
        <x:v>มีสิทธิ์ WAREHOUSE</x:v>
      </x:c>
      <x:c r="I14" s="16" t="str">
        <x:v>ผู้ใช้ e2e_warehouse</x:v>
      </x:c>
      <x:c r="J14" s="16" t="str">
        <x:v>1. Login WAREHOUSE
2. เปิดหน้าคลัง
3. ตรวจปุ่มโกดัง
4. สลับคิวเครื่องชั่ง</x:v>
      </x:c>
      <x:c r="K14" s="16" t="str">
        <x:v>เมนูและคิวที่จำเป็นแสดงตามสิทธิ์</x:v>
      </x:c>
      <x:c r="L14" s="16" t="str">
        <x:v>Screenshot + Playwright result</x:v>
      </x:c>
      <x:c r="M14" s="16" t="str">
        <x:v>e2e/workflow.spec.ts:44</x:v>
      </x:c>
      <x:c r="N14" s="16" t="str">
        <x:v>Not Run</x:v>
      </x:c>
      <x:c r="O14" s="16" t="str"/>
      <x:c r="P14" s="16" t="str"/>
      <x:c r="Q14" s="16" t="str"/>
      <x:c r="R14" s="16" t="str"/>
      <x:c r="S14" s="16" t="str"/>
      <x:c r="T14" s="16" t="str"/>
    </x:row>
    <x:row r="15" ht="78" customHeight="1">
      <x:c r="A15" s="16" t="str">
        <x:v>UAT-MAN-001</x:v>
      </x:c>
      <x:c r="B15" s="16" t="str">
        <x:v>Manual</x:v>
      </x:c>
      <x:c r="C15" s="16" t="str">
        <x:v>TruckScale Live</x:v>
      </x:c>
      <x:c r="D15" s="16" t="str">
        <x:v>ทดสอบ TruckScale online ด้วยข้อมูลน้ำหนักจริง</x:v>
      </x:c>
      <x:c r="E15" s="16" t="str">
        <x:v>FR-024, FR-025, FR-026</x:v>
      </x:c>
      <x:c r="F15" s="16" t="str">
        <x:v>WEIGHBRIDGE / WAREHOUSE / IT</x:v>
      </x:c>
      <x:c r="G15" s="16" t="str">
        <x:v>Yes</x:v>
      </x:c>
      <x:c r="H15" s="16" t="str">
        <x:v>MySQL TruckScale online; connection target และข้อมูลทดสอบได้รับอนุมัติ</x:v>
      </x:c>
      <x:c r="I15" s="16" t="str">
        <x:v>ทะเบียน/ใบชั่งที่เจ้าของระบบอนุมัติ</x:v>
      </x:c>
      <x:c r="J15" s="16" t="str">
        <x:v>1. ยืนยัน health mysql=up
2. ค้นหาใบชั่งจริง
3. ผูกกับ SO ทดสอบ
4. ยืนยันน้ำหนักและ source timestamp
5. ตรวจ duplicate/ambiguous handling</x:v>
      </x:c>
      <x:c r="K15" s="16" t="str">
        <x:v>แหล่งข้อมูล ใบชั่ง น้ำหนัก และเวลาเชื่อมโยงถูกต้องโดยไม่สร้างข้อมูลซ้ำ</x:v>
      </x:c>
      <x:c r="L15" s="16" t="str">
        <x:v>Screenshot + API response + DB query result ที่ mask แล้ว + ผู้ทดสอบลงนาม</x:v>
      </x:c>
      <x:c r="M15" s="16" t="str">
        <x:v>Manual — current E2E validates degraded state only</x:v>
      </x:c>
      <x:c r="N15" s="16" t="str">
        <x:v>Not Run</x:v>
      </x:c>
      <x:c r="O15" s="16" t="str"/>
      <x:c r="P15" s="16" t="str"/>
      <x:c r="Q15" s="16" t="str"/>
      <x:c r="R15" s="16" t="str"/>
      <x:c r="S15" s="16" t="str"/>
      <x:c r="T15" s="16" t="str"/>
    </x:row>
    <x:row r="16" ht="78" customHeight="1">
      <x:c r="A16" s="16" t="str">
        <x:v>UAT-MAN-002</x:v>
      </x:c>
      <x:c r="B16" s="16" t="str">
        <x:v>Manual</x:v>
      </x:c>
      <x:c r="C16" s="16" t="str">
        <x:v>Reconciliation</x:v>
      </x:c>
      <x:c r="D16" s="16" t="str">
        <x:v>กระทบยอดตัวอย่าง SO/น้ำหนัก/เอกสารกับ WINSpeed</x:v>
      </x:c>
      <x:c r="E16" s="16" t="str">
        <x:v>FR-015, FR-027, FR-030</x:v>
      </x:c>
      <x:c r="F16" s="16" t="str">
        <x:v>ACCOUNTING / DBA / QA</x:v>
      </x:c>
      <x:c r="G16" s="16" t="str">
        <x:v>Yes</x:v>
      </x:c>
      <x:c r="H16" s="16" t="str">
        <x:v>เลือก sample ที่เจ้าของข้อมูลอนุมัติ; query เป็น read-only</x:v>
      </x:c>
      <x:c r="I16" s="16" t="str">
        <x:v>อย่างน้อย 10 SO ครอบคลุม normal, partial, exception</x:v>
      </x:c>
      <x:c r="J16" s="16" t="str">
        <x:v>1. Export sample identifiers
2. เทียบ wf กับ dbo/WINSpeed
3. เทียบน้ำหนัก
4. บันทึก difference
5. review โดย Accounting</x:v>
      </x:c>
      <x:c r="K16" s="16" t="str">
        <x:v>ค่าหลักตรงกันหรือมี exception case/owner/due date ที่อนุมัติ</x:v>
      </x:c>
      <x:c r="L16" s="16" t="str">
        <x:v>Reconciliation workbook/report + query hash + Accounting sign-off</x:v>
      </x:c>
      <x:c r="M16" s="16" t="str">
        <x:v>Manual; scripts/smoke-api.js supports API smoke only</x:v>
      </x:c>
      <x:c r="N16" s="16" t="str">
        <x:v>Not Run</x:v>
      </x:c>
      <x:c r="O16" s="16" t="str"/>
      <x:c r="P16" s="16" t="str"/>
      <x:c r="Q16" s="16" t="str"/>
      <x:c r="R16" s="16" t="str"/>
      <x:c r="S16" s="16" t="str"/>
      <x:c r="T16" s="16" t="str"/>
    </x:row>
    <x:row r="17" ht="78" customHeight="1">
      <x:c r="A17" s="16" t="str">
        <x:v>UAT-MAN-003</x:v>
      </x:c>
      <x:c r="B17" s="16" t="str">
        <x:v>Manual</x:v>
      </x:c>
      <x:c r="C17" s="16" t="str">
        <x:v>Rebate / CN</x:v>
      </x:c>
      <x:c r="D17" s="16" t="str">
        <x:v>Rebate plan → allocation/FIFO → claim → CN evidence</x:v>
      </x:c>
      <x:c r="E17" s="16" t="str">
        <x:v>FR-008, FR-009, FR-010, FR-011</x:v>
      </x:c>
      <x:c r="F17" s="16" t="str">
        <x:v>SALES / MANAGER / ACCOUNTING</x:v>
      </x:c>
      <x:c r="G17" s="16" t="str">
        <x:v>Yes</x:v>
      </x:c>
      <x:c r="H17" s="16" t="str">
        <x:v>มีแผนทดสอบและวงเงินที่ไม่กระทบ production</x:v>
      </x:c>
      <x:c r="I17" s="16" t="str">
        <x:v>ลูกค้า/สินค้า/แผนจำลอง 1 ชุด ครอบคลุม partial claim</x:v>
      </x:c>
      <x:c r="J17" s="16" t="str">
        <x:v>1. สร้าง/อนุมัติแผน
2. จัดสรร pool
3. สร้างรายการใช้แบบ FIFO
4. ยื่น claim
5. ตรวจ CN/reconciliation</x:v>
      </x:c>
      <x:c r="K17" s="16" t="str">
        <x:v>ยอดคงเหลือและลำดับ FIFO ถูกต้อง มี audit และหลักฐาน CN ที่อ้างอิงกลับได้</x:v>
      </x:c>
      <x:c r="L17" s="16" t="str">
        <x:v>Screenshots + ledger export + claim/CN references + Accounting sign-off</x:v>
      </x:c>
      <x:c r="M17" s="16" t="str">
        <x:v>Manual critical business acceptance</x:v>
      </x:c>
      <x:c r="N17" s="16" t="str">
        <x:v>Not Run</x:v>
      </x:c>
      <x:c r="O17" s="16" t="str"/>
      <x:c r="P17" s="16" t="str"/>
      <x:c r="Q17" s="16" t="str"/>
      <x:c r="R17" s="16" t="str"/>
      <x:c r="S17" s="16" t="str"/>
      <x:c r="T17" s="16" t="str"/>
    </x:row>
    <x:row r="18" ht="78" customHeight="1">
      <x:c r="A18" s="16" t="str">
        <x:v>UAT-MAN-004</x:v>
      </x:c>
      <x:c r="B18" s="16" t="str">
        <x:v>Manual</x:v>
      </x:c>
      <x:c r="C18" s="16" t="str">
        <x:v>Giveaway</x:v>
      </x:c>
      <x:c r="D18" s="16" t="str">
        <x:v>ของแถมเกินงบถูกเตือน/กั้นและต้องมีการอนุมัติ</x:v>
      </x:c>
      <x:c r="E18" s="16" t="str">
        <x:v>FR-020, FR-028</x:v>
      </x:c>
      <x:c r="F18" s="16" t="str">
        <x:v>SALES / MANAGER / ACCOUNTING</x:v>
      </x:c>
      <x:c r="G18" s="16" t="str">
        <x:v>Yes</x:v>
      </x:c>
      <x:c r="H18" s="16" t="str">
        <x:v>ตั้งงบทดสอบและ approval policy</x:v>
      </x:c>
      <x:c r="I18" s="16" t="str">
        <x:v>รายการในงบ 1 รายการ; เกินงบ 1 รายการ</x:v>
      </x:c>
      <x:c r="J18" s="16" t="str">
        <x:v>1. ทดสอบเบิกในงบ
2. ทดสอบเกินงบ
3. ตรวจ block/warning
4. อนุมัติ/ปฏิเสธ
5. ตรวจ audit และยอดคงเหลือ</x:v>
      </x:c>
      <x:c r="K18" s="16" t="str">
        <x:v>รายการเกินงบไม่ผ่านโดยไม่มีผู้อนุมัติและทุกการตัดสินใจ trace ได้</x:v>
      </x:c>
      <x:c r="L18" s="16" t="str">
        <x:v>Screenshots + approval/audit record + budget balance</x:v>
      </x:c>
      <x:c r="M18" s="16" t="str">
        <x:v>Manual critical business acceptance</x:v>
      </x:c>
      <x:c r="N18" s="16" t="str">
        <x:v>Not Run</x:v>
      </x:c>
      <x:c r="O18" s="16" t="str"/>
      <x:c r="P18" s="16" t="str"/>
      <x:c r="Q18" s="16" t="str"/>
      <x:c r="R18" s="16" t="str"/>
      <x:c r="S18" s="16" t="str"/>
      <x:c r="T18" s="16" t="str"/>
    </x:row>
    <x:row r="19" ht="78" customHeight="1">
      <x:c r="A19" s="16" t="str">
        <x:v>UAT-MAN-005</x:v>
      </x:c>
      <x:c r="B19" s="16" t="str">
        <x:v>Manual</x:v>
      </x:c>
      <x:c r="C19" s="16" t="str">
        <x:v>Paper / Unlock</x:v>
      </x:c>
      <x:c r="D19" s="16" t="str">
        <x:v>เอกสารสูญหายและคำขอปลดล็อกหลัง Picking ถูกควบคุม</x:v>
      </x:c>
      <x:c r="E19" s="16" t="str">
        <x:v>FR-004, FR-006, FR-007, FR-012, FR-013</x:v>
      </x:c>
      <x:c r="F19" s="16" t="str">
        <x:v>COUNTER_SALES / WAREHOUSE / APPROVER</x:v>
      </x:c>
      <x:c r="G19" s="16" t="str">
        <x:v>Yes</x:v>
      </x:c>
      <x:c r="H19" s="16" t="str">
        <x:v>มี SO ทดสอบที่เข้าสู่ Picking และ approval authority พร้อม</x:v>
      </x:c>
      <x:c r="I19" s="16" t="str">
        <x:v>Paper copy 4 สี/QR และเหตุผล lost/unlock จำลอง</x:v>
      </x:c>
      <x:c r="J19" s="16" t="str">
        <x:v>1. บันทึกเอกสารแต่ละสี
2. จำลอง lost
3. ยื่น unlock พร้อมเหตุผล
4. อนุมัติ/ปฏิเสธ
5. ตรวจ state compensation และ audit</x:v>
      </x:c>
      <x:c r="K19" s="16" t="str">
        <x:v>ไม่แก้ state แบบเงียบ; lost/unlock มีผู้ขอ ผู้อนุมัติ เหตุผล เวลา และหลักฐาน</x:v>
      </x:c>
      <x:c r="L19" s="16" t="str">
        <x:v>Paper Trail screenshot + UnlockRequest/audit + approver sign-off</x:v>
      </x:c>
      <x:c r="M19" s="16" t="str">
        <x:v>Manual extension of automated Paper Trail flow</x:v>
      </x:c>
      <x:c r="N19" s="16" t="str">
        <x:v>Not Run</x:v>
      </x:c>
      <x:c r="O19" s="16" t="str"/>
      <x:c r="P19" s="16" t="str"/>
      <x:c r="Q19" s="16" t="str"/>
      <x:c r="R19" s="16" t="str"/>
      <x:c r="S19" s="16" t="str"/>
      <x:c r="T19" s="16" t="str"/>
    </x:row>
    <x:row r="20" ht="78" customHeight="1">
      <x:c r="A20" s="16" t="str">
        <x:v>UAT-MAN-006</x:v>
      </x:c>
      <x:c r="B20" s="16" t="str">
        <x:v>Manual</x:v>
      </x:c>
      <x:c r="C20" s="16" t="str">
        <x:v>BCP / DR</x:v>
      </x:c>
      <x:c r="D20" s="16" t="str">
        <x:v>ซ้อม dependency outage, fallback และ restore ใน non-production</x:v>
      </x:c>
      <x:c r="E20" s="16" t="str">
        <x:v>FR-030, FR-031</x:v>
      </x:c>
      <x:c r="F20" s="16" t="str">
        <x:v>IT / DBA / QA / BUSINESS OWNER</x:v>
      </x:c>
      <x:c r="G20" s="16" t="str">
        <x:v>Yes</x:v>
      </x:c>
      <x:c r="H20" s="16" t="str">
        <x:v>อนุมัติ tabletop/restore scope; ห้าม restore ทับ active database</x:v>
      </x:c>
      <x:c r="I20" s="16" t="str">
        <x:v>สถานการณ์ API down, MySQL down, SQL read-only, backup test set</x:v>
      </x:c>
      <x:c r="J20" s="16" t="str">
        <x:v>1. ประกาศ incident
2. ใช้ manual fallback ตาม process
3. เก็บรายการธุรกรรมค้าง
4. restore side-by-side
5. reconcile และอนุมัติกลับระบบ</x:v>
      </x:c>
      <x:c r="K20" s="16" t="str">
        <x:v>RTO/RPO ถูกวัดจริง ไม่มีข้อมูลสูญหายหรือซ้ำ และมี decision record</x:v>
      </x:c>
      <x:c r="L20" s="16" t="str">
        <x:v>Tabletop log + restore report + reconciliation + approval</x:v>
      </x:c>
      <x:c r="M20" s="16" t="str">
        <x:v>Manual operational assurance</x:v>
      </x:c>
      <x:c r="N20" s="16" t="str">
        <x:v>Not Run</x:v>
      </x:c>
      <x:c r="O20" s="16" t="str"/>
      <x:c r="P20" s="16" t="str"/>
      <x:c r="Q20" s="16" t="str"/>
      <x:c r="R20" s="16" t="str"/>
      <x:c r="S20" s="16" t="str"/>
      <x:c r="T20" s="16" t="str"/>
    </x:row>
    <x:row r="21" ht="78" customHeight="1">
      <x:c r="A21" s="16" t="str">
        <x:v>UAT-MAN-007</x:v>
      </x:c>
      <x:c r="B21" s="16" t="str">
        <x:v>Manual</x:v>
      </x:c>
      <x:c r="C21" s="16" t="str">
        <x:v>Security</x:v>
      </x:c>
      <x:c r="D21" s="16" t="str">
        <x:v>ผู้ใช้ที่ไม่มีสิทธิ์ถูกปฏิเสธในธุรกรรมสำคัญ</x:v>
      </x:c>
      <x:c r="E21" s="16" t="str">
        <x:v>FR-018, FR-028, FR-032</x:v>
      </x:c>
      <x:c r="F21" s="16" t="str">
        <x:v>QA / IT / PROCESS OWNER</x:v>
      </x:c>
      <x:c r="G21" s="16" t="str">
        <x:v>Yes</x:v>
      </x:c>
      <x:c r="H21" s="16" t="str">
        <x:v>มีบัญชีทดสอบทุก role และ role matrix ที่อนุมัติ</x:v>
      </x:c>
      <x:c r="I21" s="16" t="str">
        <x:v>Denied actions: confirm, unlock, price, user admin, direct data access</x:v>
      </x:c>
      <x:c r="J21" s="16" t="str">
        <x:v>1. ทดสอบ positive access
2. ทดสอบ denied action ข้าม role
3. ตรวจ HTTP/UI response
4. ตรวจ audit
5. ยืนยันไม่มีข้อมูลลับรั่ว</x:v>
      </x:c>
      <x:c r="K21" s="16" t="str">
        <x:v>deny-by-default ทำงานและการปฏิเสธสำคัญถูกบันทึก</x:v>
      </x:c>
      <x:c r="L21" s="16" t="str">
        <x:v>Access matrix + screenshots/API responses + audit query</x:v>
      </x:c>
      <x:c r="M21" s="16" t="str">
        <x:v>Manual negative/security acceptance</x:v>
      </x:c>
      <x:c r="N21" s="16" t="str">
        <x:v>Not Run</x:v>
      </x:c>
      <x:c r="O21" s="16" t="str"/>
      <x:c r="P21" s="16" t="str"/>
      <x:c r="Q21" s="16" t="str"/>
      <x:c r="R21" s="16" t="str"/>
      <x:c r="S21" s="16" t="str"/>
      <x:c r="T21" s="16" t="str"/>
    </x:row>
    <x:row r="22" ht="78" customHeight="1">
      <x:c r="A22" s="16" t="str">
        <x:v>UAT-MAN-008</x:v>
      </x:c>
      <x:c r="B22" s="16" t="str">
        <x:v>Manual</x:v>
      </x:c>
      <x:c r="C22" s="16" t="str">
        <x:v>Performance</x:v>
      </x:c>
      <x:c r="D22" s="16" t="str">
        <x:v>Reconciliation และหน้าหลักตอบสนองบนข้อมูลขนาดใช้งานจริง</x:v>
      </x:c>
      <x:c r="E22" s="16" t="str">
        <x:v>FR-017, FR-027, FR-030</x:v>
      </x:c>
      <x:c r="F22" s="16" t="str">
        <x:v>QA / DBA / SOLUTION ARCHITECT</x:v>
      </x:c>
      <x:c r="G22" s="16" t="str">
        <x:v>No</x:v>
      </x:c>
      <x:c r="H22" s="16" t="str">
        <x:v>ชุดข้อมูลใกล้เคียง production ที่ mask แล้ว; monitoring พร้อม</x:v>
      </x:c>
      <x:c r="I22" s="16" t="str">
        <x:v>Historical range และ filter ที่ตกลงร่วมกัน</x:v>
      </x:c>
      <x:c r="J22" s="16" t="str">
        <x:v>1. Warm-up
2. รัน query/API sample
3. บันทึก p50/p95/error
4. ตรวจ DB load
5. ทวนกับ SLO</x:v>
      </x:c>
      <x:c r="K22" s="16" t="str">
        <x:v>ผ่าน SLO ที่อนุมัติหรือมี capacity action/risk acceptance</x:v>
      </x:c>
      <x:c r="L22" s="16" t="str">
        <x:v>Performance report + request IDs + DB plan/metrics</x:v>
      </x:c>
      <x:c r="M22" s="16" t="str">
        <x:v>scripts/smoke-api.js + manual performance run</x:v>
      </x:c>
      <x:c r="N22" s="16" t="str">
        <x:v>Not Run</x:v>
      </x:c>
      <x:c r="O22" s="16" t="str"/>
      <x:c r="P22" s="16" t="str"/>
      <x:c r="Q22" s="16" t="str"/>
      <x:c r="R22" s="16" t="str"/>
      <x:c r="S22" s="16" t="str"/>
      <x:c r="T22" s="16" t="str"/>
    </x:row>
  </x:sheetData>
  <x:mergeCells>
    <x:mergeCell ref="A1:T1"/>
    <x:mergeCell ref="A2:T2"/>
  </x:mergeCells>
  <x:conditionalFormatting sqref="N5:N22">
    <x:cfRule type="containsText" dxfId="2" priority="1" operator="containsText" text="Pass"/>
    <x:cfRule type="containsText" dxfId="3" priority="2" operator="containsText" text="Fail"/>
    <x:cfRule type="containsText" dxfId="4" priority="3" operator="containsText" text="Blocked"/>
  </x:conditionalFormatting>
  <x:conditionalFormatting sqref="G5:G22">
    <x:cfRule type="containsText" dxfId="5" priority="4" operator="containsText" text="Yes"/>
  </x:conditionalFormatting>
  <x:dataValidations count="1">
    <x:dataValidation type="list" sqref="N5:N22">
      <x:formula1>Lookups!$A$2:$A$6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719aa437ba43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40" hidden="0" customWidth="1"/>
    <x:col min="5" max="5" width="46" hidden="0" customWidth="1"/>
    <x:col min="6" max="6" width="38" hidden="0" customWidth="1"/>
    <x:col min="7" max="7" width="13" hidden="0" customWidth="1"/>
    <x:col min="8" max="8" width="14" hidden="0" customWidth="1"/>
    <x:col min="9" max="9" width="18" hidden="0" customWidth="1"/>
    <x:col min="10" max="10" width="15" hidden="0" customWidth="1"/>
  </x:cols>
  <x:sheetData>
    <x:row r="1" ht="36" customHeight="1">
      <x:c r="A1" s="3" t="str">
        <x:v>UAT Full Loop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Cross-role control sheet — run in order and stop at failed hold points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2" t="str">
        <x:v>Seq</x:v>
      </x:c>
      <x:c r="B4" s="12" t="str">
        <x:v>Case ID</x:v>
      </x:c>
      <x:c r="C4" s="12" t="str">
        <x:v>Role</x:v>
      </x:c>
      <x:c r="D4" s="12" t="str">
        <x:v>Business action</x:v>
      </x:c>
      <x:c r="E4" s="12" t="str">
        <x:v>Exit check / Hold point</x:v>
      </x:c>
      <x:c r="F4" s="12" t="str">
        <x:v>Evidence</x:v>
      </x:c>
      <x:c r="G4" s="12" t="str">
        <x:v>Status</x:v>
      </x:c>
      <x:c r="H4" s="12" t="str">
        <x:v>Defect</x:v>
      </x:c>
      <x:c r="I4" s="12" t="str">
        <x:v>Tester</x:v>
      </x:c>
      <x:c r="J4" s="12" t="str">
        <x:v>Date</x:v>
      </x:c>
    </x:row>
    <x:row r="5" ht="68" customHeight="1">
      <x:c r="A5" s="16" t="n">
        <x:v>1</x:v>
      </x:c>
      <x:c r="B5" s="16" t="str">
        <x:v>UAT-E2E-002</x:v>
      </x:c>
      <x:c r="C5" s="16" t="str">
        <x:v>SALES</x:v>
      </x:c>
      <x:c r="D5" s="16" t="str">
        <x:v>SALES สร้าง SO draft ที่ตรวจสอบย้อนกลับได้</x:v>
      </x:c>
      <x:c r="E5" s="16" t="str">
        <x:v>ได้ WfRef รูปแบบที่กำหนด มีอย่างน้อย 1 line และสถานะ DRAFT</x:v>
      </x:c>
      <x:c r="F5" s="16" t="str">
        <x:v>created-order.json + screenshot + SalesOrder audit</x:v>
      </x:c>
      <x:c r="G5" s="16" t="str">
        <x:v>Not Run</x:v>
      </x:c>
      <x:c r="H5" s="16" t="str"/>
      <x:c r="I5" s="16" t="str"/>
      <x:c r="J5" s="16" t="str"/>
    </x:row>
    <x:row r="6" ht="68" customHeight="1">
      <x:c r="A6" s="16" t="n">
        <x:v>2</x:v>
      </x:c>
      <x:c r="B6" s="16" t="str">
        <x:v>UAT-E2E-003</x:v>
      </x:c>
      <x:c r="C6" s="16" t="str">
        <x:v>MANAGER / ADMIN</x:v>
      </x:c>
      <x:c r="D6" s="16" t="str">
        <x:v>MANAGER ตรวจและ ADMIN ยืนยัน SO เป็นรอจัดส่ง</x:v>
      </x:c>
      <x:c r="E6" s="16" t="str">
        <x:v>Audit มี VERIFIED และ SO เปลี่ยนเป็น CONFIRMED โดยผู้มีสิทธิ์</x:v>
      </x:c>
      <x:c r="F6" s="16" t="str">
        <x:v>confirmed-order.json + screenshot + audit log</x:v>
      </x:c>
      <x:c r="G6" s="16" t="str">
        <x:v>Not Run</x:v>
      </x:c>
      <x:c r="H6" s="16" t="str"/>
      <x:c r="I6" s="16" t="str"/>
      <x:c r="J6" s="16" t="str"/>
    </x:row>
    <x:row r="7" ht="68" customHeight="1">
      <x:c r="A7" s="16" t="n">
        <x:v>3</x:v>
      </x:c>
      <x:c r="B7" s="16" t="str">
        <x:v>UAT-E2E-004</x:v>
      </x:c>
      <x:c r="C7" s="16" t="str">
        <x:v>COUNTER_SALES</x:v>
      </x:c>
      <x:c r="D7" s="16" t="str">
        <x:v>COUNTER_SALES เห็นสถานะ TruckScale ตรงกับ health API</x:v>
      </x:c>
      <x:c r="E7" s="16" t="str">
        <x:v>UI แสดงเชื่อมต่อแล้วเมื่อ mysql=up หรือเชื่อมต่อไม่ได้เมื่อ mysql=down โดยไม่แสดงสถานะเท็จ</x:v>
      </x:c>
      <x:c r="F7" s="16" t="str">
        <x:v>truckscale-health.json + screenshot + health response</x:v>
      </x:c>
      <x:c r="G7" s="16" t="str">
        <x:v>Not Run</x:v>
      </x:c>
      <x:c r="H7" s="16" t="str"/>
      <x:c r="I7" s="16" t="str"/>
      <x:c r="J7" s="16" t="str"/>
    </x:row>
    <x:row r="8" ht="68" customHeight="1">
      <x:c r="A8" s="16" t="n">
        <x:v>4</x:v>
      </x:c>
      <x:c r="B8" s="16" t="str">
        <x:v>UAT-E2E-005</x:v>
      </x:c>
      <x:c r="C8" s="16" t="str">
        <x:v>WAREHOUSE</x:v>
      </x:c>
      <x:c r="D8" s="16" t="str">
        <x:v>WAREHOUSE หยิบ จัดโหลด ชั่งออก และส่งสินค้า</x:v>
      </x:c>
      <x:c r="E8" s="16" t="str">
        <x:v>สถานะเปลี่ยน PICKING → LOADED → SHIPPED และมีน้ำหนักสุทธิที่ตรวจสอบได้</x:v>
      </x:c>
      <x:c r="F8" s="16" t="str">
        <x:v>shipped-order.json + screenshot + WeighTicket/API</x:v>
      </x:c>
      <x:c r="G8" s="16" t="str">
        <x:v>Not Run</x:v>
      </x:c>
      <x:c r="H8" s="16" t="str"/>
      <x:c r="I8" s="16" t="str"/>
      <x:c r="J8" s="16" t="str"/>
    </x:row>
    <x:row r="9" ht="68" customHeight="1">
      <x:c r="A9" s="16" t="n">
        <x:v>5</x:v>
      </x:c>
      <x:c r="B9" s="16" t="str">
        <x:v>UAT-E2E-006</x:v>
      </x:c>
      <x:c r="C9" s="16" t="str">
        <x:v>ADMIN</x:v>
      </x:c>
      <x:c r="D9" s="16" t="str">
        <x:v>ADMIN ตรวจสถานะ SHIPPED และ audit trail ครบลำดับ</x:v>
      </x:c>
      <x:c r="E9" s="16" t="str">
        <x:v>สถานะเป็น SHIPPED และ audit มี CONFIRMED, PICKING, LOADED, SHIPPED</x:v>
      </x:c>
      <x:c r="F9" s="16" t="str">
        <x:v>uat-final-audit.json + screenshot + audit log</x:v>
      </x:c>
      <x:c r="G9" s="16" t="str">
        <x:v>Not Run</x:v>
      </x:c>
      <x:c r="H9" s="16" t="str"/>
      <x:c r="I9" s="16" t="str"/>
      <x:c r="J9" s="16" t="str"/>
    </x:row>
    <x:row r="10" ht="68" customHeight="1">
      <x:c r="A10" s="16" t="n">
        <x:v>6</x:v>
      </x:c>
      <x:c r="B10" s="16" t="str">
        <x:v>UAT-MAN-001</x:v>
      </x:c>
      <x:c r="C10" s="16" t="str">
        <x:v>WEIGHBRIDGE / WAREHOUSE / IT</x:v>
      </x:c>
      <x:c r="D10" s="16" t="str">
        <x:v>ทดสอบ TruckScale online ด้วยข้อมูลน้ำหนักจริง</x:v>
      </x:c>
      <x:c r="E10" s="16" t="str">
        <x:v>แหล่งข้อมูล ใบชั่ง น้ำหนัก และเวลาเชื่อมโยงถูกต้องโดยไม่สร้างข้อมูลซ้ำ</x:v>
      </x:c>
      <x:c r="F10" s="16" t="str">
        <x:v>Screenshot + API response + DB query result ที่ mask แล้ว + ผู้ทดสอบลงนาม</x:v>
      </x:c>
      <x:c r="G10" s="16" t="str">
        <x:v>Not Run</x:v>
      </x:c>
      <x:c r="H10" s="16" t="str"/>
      <x:c r="I10" s="16" t="str"/>
      <x:c r="J10" s="16" t="str"/>
    </x:row>
    <x:row r="11" ht="68" customHeight="1">
      <x:c r="A11" s="16" t="n">
        <x:v>7</x:v>
      </x:c>
      <x:c r="B11" s="16" t="str">
        <x:v>UAT-MAN-002</x:v>
      </x:c>
      <x:c r="C11" s="16" t="str">
        <x:v>ACCOUNTING / DBA / QA</x:v>
      </x:c>
      <x:c r="D11" s="16" t="str">
        <x:v>กระทบยอดตัวอย่าง SO/น้ำหนัก/เอกสารกับ WINSpeed</x:v>
      </x:c>
      <x:c r="E11" s="16" t="str">
        <x:v>ค่าหลักตรงกันหรือมี exception case/owner/due date ที่อนุมัติ</x:v>
      </x:c>
      <x:c r="F11" s="16" t="str">
        <x:v>Reconciliation workbook/report + query hash + Accounting sign-off</x:v>
      </x:c>
      <x:c r="G11" s="16" t="str">
        <x:v>Not Run</x:v>
      </x:c>
      <x:c r="H11" s="16" t="str"/>
      <x:c r="I11" s="16" t="str"/>
      <x:c r="J11" s="16" t="str"/>
    </x:row>
    <x:row r="12" ht="68" customHeight="1">
      <x:c r="A12" s="16" t="n">
        <x:v>8</x:v>
      </x:c>
      <x:c r="B12" s="16" t="str">
        <x:v>UAT-MAN-003</x:v>
      </x:c>
      <x:c r="C12" s="16" t="str">
        <x:v>SALES / MANAGER / ACCOUNTING</x:v>
      </x:c>
      <x:c r="D12" s="16" t="str">
        <x:v>Rebate plan → allocation/FIFO → claim → CN evidence</x:v>
      </x:c>
      <x:c r="E12" s="16" t="str">
        <x:v>ยอดคงเหลือและลำดับ FIFO ถูกต้อง มี audit และหลักฐาน CN ที่อ้างอิงกลับได้</x:v>
      </x:c>
      <x:c r="F12" s="16" t="str">
        <x:v>Screenshots + ledger export + claim/CN references + Accounting sign-off</x:v>
      </x:c>
      <x:c r="G12" s="16" t="str">
        <x:v>Not Run</x:v>
      </x:c>
      <x:c r="H12" s="16" t="str"/>
      <x:c r="I12" s="16" t="str"/>
      <x:c r="J12" s="16" t="str"/>
    </x:row>
    <x:row r="13" ht="68" customHeight="1">
      <x:c r="A13" s="16" t="n">
        <x:v>9</x:v>
      </x:c>
      <x:c r="B13" s="16" t="str">
        <x:v>UAT-MAN-004</x:v>
      </x:c>
      <x:c r="C13" s="16" t="str">
        <x:v>SALES / MANAGER / ACCOUNTING</x:v>
      </x:c>
      <x:c r="D13" s="16" t="str">
        <x:v>ของแถมเกินงบถูกเตือน/กั้นและต้องมีการอนุมัติ</x:v>
      </x:c>
      <x:c r="E13" s="16" t="str">
        <x:v>รายการเกินงบไม่ผ่านโดยไม่มีผู้อนุมัติและทุกการตัดสินใจ trace ได้</x:v>
      </x:c>
      <x:c r="F13" s="16" t="str">
        <x:v>Screenshots + approval/audit record + budget balance</x:v>
      </x:c>
      <x:c r="G13" s="16" t="str">
        <x:v>Not Run</x:v>
      </x:c>
      <x:c r="H13" s="16" t="str"/>
      <x:c r="I13" s="16" t="str"/>
      <x:c r="J13" s="16" t="str"/>
    </x:row>
    <x:row r="14" ht="68" customHeight="1">
      <x:c r="A14" s="16" t="n">
        <x:v>10</x:v>
      </x:c>
      <x:c r="B14" s="16" t="str">
        <x:v>UAT-MAN-005</x:v>
      </x:c>
      <x:c r="C14" s="16" t="str">
        <x:v>COUNTER_SALES / WAREHOUSE / APPROVER</x:v>
      </x:c>
      <x:c r="D14" s="16" t="str">
        <x:v>เอกสารสูญหายและคำขอปลดล็อกหลัง Picking ถูกควบคุม</x:v>
      </x:c>
      <x:c r="E14" s="16" t="str">
        <x:v>ไม่แก้ state แบบเงียบ; lost/unlock มีผู้ขอ ผู้อนุมัติ เหตุผล เวลา และหลักฐาน</x:v>
      </x:c>
      <x:c r="F14" s="16" t="str">
        <x:v>Paper Trail screenshot + UnlockRequest/audit + approver sign-off</x:v>
      </x:c>
      <x:c r="G14" s="16" t="str">
        <x:v>Not Run</x:v>
      </x:c>
      <x:c r="H14" s="16" t="str"/>
      <x:c r="I14" s="16" t="str"/>
      <x:c r="J14" s="16" t="str"/>
    </x:row>
    <x:row r="15" ht="68" customHeight="1">
      <x:c r="A15" s="16" t="n">
        <x:v>11</x:v>
      </x:c>
      <x:c r="B15" s="16" t="str">
        <x:v>UAT-MAN-006</x:v>
      </x:c>
      <x:c r="C15" s="16" t="str">
        <x:v>IT / DBA / QA / BUSINESS OWNER</x:v>
      </x:c>
      <x:c r="D15" s="16" t="str">
        <x:v>ซ้อม dependency outage, fallback และ restore ใน non-production</x:v>
      </x:c>
      <x:c r="E15" s="16" t="str">
        <x:v>RTO/RPO ถูกวัดจริง ไม่มีข้อมูลสูญหายหรือซ้ำ และมี decision record</x:v>
      </x:c>
      <x:c r="F15" s="16" t="str">
        <x:v>Tabletop log + restore report + reconciliation + approval</x:v>
      </x:c>
      <x:c r="G15" s="16" t="str">
        <x:v>Not Run</x:v>
      </x:c>
      <x:c r="H15" s="16" t="str"/>
      <x:c r="I15" s="16" t="str"/>
      <x:c r="J15" s="16" t="str"/>
    </x:row>
    <x:row r="16" ht="68" customHeight="1">
      <x:c r="A16" s="16" t="n">
        <x:v>12</x:v>
      </x:c>
      <x:c r="B16" s="16" t="str">
        <x:v>UAT-MAN-007</x:v>
      </x:c>
      <x:c r="C16" s="16" t="str">
        <x:v>QA / IT / PROCESS OWNER</x:v>
      </x:c>
      <x:c r="D16" s="16" t="str">
        <x:v>ผู้ใช้ที่ไม่มีสิทธิ์ถูกปฏิเสธในธุรกรรมสำคัญ</x:v>
      </x:c>
      <x:c r="E16" s="16" t="str">
        <x:v>deny-by-default ทำงานและการปฏิเสธสำคัญถูกบันทึก</x:v>
      </x:c>
      <x:c r="F16" s="16" t="str">
        <x:v>Access matrix + screenshots/API responses + audit query</x:v>
      </x:c>
      <x:c r="G16" s="16" t="str">
        <x:v>Not Run</x:v>
      </x:c>
      <x:c r="H16" s="16" t="str"/>
      <x:c r="I16" s="16" t="str"/>
      <x:c r="J16" s="16" t="str"/>
    </x:row>
    <x:row r="17" ht="68" customHeight="1">
      <x:c r="A17" s="16" t="n">
        <x:v>13</x:v>
      </x:c>
      <x:c r="B17" s="16" t="str">
        <x:v>UAT-MAN-008</x:v>
      </x:c>
      <x:c r="C17" s="16" t="str">
        <x:v>QA / DBA / SOLUTION ARCHITECT</x:v>
      </x:c>
      <x:c r="D17" s="16" t="str">
        <x:v>Reconciliation และหน้าหลักตอบสนองบนข้อมูลขนาดใช้งานจริง</x:v>
      </x:c>
      <x:c r="E17" s="16" t="str">
        <x:v>ผ่าน SLO ที่อนุมัติหรือมี capacity action/risk acceptance</x:v>
      </x:c>
      <x:c r="F17" s="16" t="str">
        <x:v>Performance report + request IDs + DB plan/metrics</x:v>
      </x:c>
      <x:c r="G17" s="16" t="str">
        <x:v>Not Run</x:v>
      </x:c>
      <x:c r="H17" s="16" t="str"/>
      <x:c r="I17" s="16" t="str"/>
      <x:c r="J17" s="16" t="str"/>
    </x:row>
  </x:sheetData>
  <x:mergeCells>
    <x:mergeCell ref="A1:J1"/>
    <x:mergeCell ref="A2:J2"/>
  </x:mergeCells>
  <x:conditionalFormatting sqref="G5:G17">
    <x:cfRule type="containsText" dxfId="6" priority="1" operator="containsText" text="Pass"/>
    <x:cfRule type="containsText" dxfId="7" priority="2" operator="containsText" text="Fail"/>
    <x:cfRule type="containsText" dxfId="8" priority="3" operator="containsText" text="Blocked"/>
  </x:conditionalFormatting>
  <x:dataValidations count="1">
    <x:dataValidation type="list" sqref="G5:G17">
      <x:formula1>Lookups!$A$2:$A$6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8" hidden="0" customWidth="1"/>
    <x:col min="5" max="5" width="42" hidden="0" customWidth="1"/>
    <x:col min="6" max="6" width="18" hidden="0" customWidth="1"/>
    <x:col min="7" max="7" width="15" hidden="0" customWidth="1"/>
    <x:col min="8" max="8" width="18" hidden="0" customWidth="1"/>
    <x:col min="9" max="9" width="16" hidden="0" customWidth="1"/>
    <x:col min="10" max="10" width="36" hidden="0" customWidth="1"/>
    <x:col min="11" max="11" width="18" hidden="0" customWidth="1"/>
    <x:col min="12" max="12" width="15" hidden="0" customWidth="1"/>
  </x:cols>
  <x:sheetData>
    <x:row r="1" ht="36" customHeight="1">
      <x:c r="A1" s="3" t="str">
        <x:v>Defect &amp; Retest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Every Fail requires a defect; every closure requires retest evidence and reviewer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" t="str">
        <x:v>Defect ID</x:v>
      </x:c>
      <x:c r="B4" s="12" t="str">
        <x:v>UAT Case</x:v>
      </x:c>
      <x:c r="C4" s="12" t="str">
        <x:v>Severity</x:v>
      </x:c>
      <x:c r="D4" s="12" t="str">
        <x:v>Title</x:v>
      </x:c>
      <x:c r="E4" s="12" t="str">
        <x:v>Description / Actual</x:v>
      </x:c>
      <x:c r="F4" s="12" t="str">
        <x:v>Owner</x:v>
      </x:c>
      <x:c r="G4" s="12" t="str">
        <x:v>Target Date</x:v>
      </x:c>
      <x:c r="H4" s="12" t="str">
        <x:v>Status</x:v>
      </x:c>
      <x:c r="I4" s="12" t="str">
        <x:v>Retest Result</x:v>
      </x:c>
      <x:c r="J4" s="12" t="str">
        <x:v>Retest Evidence</x:v>
      </x:c>
      <x:c r="K4" s="12" t="str">
        <x:v>Reviewer</x:v>
      </x:c>
      <x:c r="L4" s="12" t="str">
        <x:v>Review Date</x:v>
      </x:c>
    </x:row>
    <x:row r="5" ht="42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  <x:c r="L5" s="16" t="str"/>
    </x:row>
    <x:row r="6" ht="42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</x:row>
    <x:row r="7" ht="42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</x:row>
    <x:row r="8" ht="42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</x:row>
    <x:row r="9" ht="42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</x:row>
    <x:row r="10" ht="42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 ht="42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</x:row>
    <x:row r="12" ht="42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 ht="42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 ht="42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 ht="42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</x:row>
    <x:row r="16" ht="42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</x:row>
    <x:row r="17" ht="42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</x:row>
    <x:row r="18" ht="42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</x:row>
    <x:row r="19" ht="42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</x:row>
    <x:row r="20" ht="42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 ht="42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 ht="42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</x:row>
    <x:row r="23" ht="42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</x:row>
    <x:row r="24" ht="42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</x:row>
    <x:row r="25" ht="42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</x:row>
    <x:row r="26" ht="42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</x:row>
    <x:row r="27" ht="42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</x:row>
    <x:row r="28" ht="42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</x:row>
    <x:row r="29" ht="42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</x:row>
    <x:row r="30" ht="42" customHeight="1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 t="str"/>
      <x:c r="L30" s="16" t="str"/>
    </x:row>
    <x:row r="31" ht="42" customHeight="1">
      <x:c r="A31" s="16" t="str"/>
      <x:c r="B31" s="16" t="str"/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6" t="str"/>
    </x:row>
    <x:row r="32" ht="42" customHeight="1">
      <x:c r="A32" s="16" t="str"/>
      <x:c r="B32" s="16" t="str"/>
      <x:c r="C32" s="16" t="str"/>
      <x:c r="D32" s="16" t="str"/>
      <x:c r="E32" s="16" t="str"/>
      <x:c r="F32" s="16" t="str"/>
      <x:c r="G32" s="16" t="str"/>
      <x:c r="H32" s="16" t="str"/>
      <x:c r="I32" s="16" t="str"/>
      <x:c r="J32" s="16" t="str"/>
      <x:c r="K32" s="16" t="str"/>
      <x:c r="L32" s="16" t="str"/>
    </x:row>
    <x:row r="33" ht="42" customHeight="1">
      <x:c r="A33" s="16" t="str"/>
      <x:c r="B33" s="16" t="str"/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6" t="str"/>
    </x:row>
    <x:row r="34" ht="42" customHeight="1">
      <x:c r="A34" s="16" t="str"/>
      <x:c r="B34" s="16" t="str"/>
      <x:c r="C34" s="16" t="str"/>
      <x:c r="D34" s="16" t="str"/>
      <x:c r="E34" s="16" t="str"/>
      <x:c r="F34" s="16" t="str"/>
      <x:c r="G34" s="16" t="str"/>
      <x:c r="H34" s="16" t="str"/>
      <x:c r="I34" s="16" t="str"/>
      <x:c r="J34" s="16" t="str"/>
      <x:c r="K34" s="16" t="str"/>
      <x:c r="L34" s="16" t="str"/>
    </x:row>
  </x:sheetData>
  <x:mergeCells>
    <x:mergeCell ref="A1:L1"/>
    <x:mergeCell ref="A2:L2"/>
  </x:mergeCells>
  <x:conditionalFormatting sqref="C5:C34">
    <x:cfRule type="containsText" dxfId="9" priority="1" operator="containsText" text="Sev-1"/>
    <x:cfRule type="containsText" dxfId="10" priority="2" operator="containsText" text="Sev-2"/>
  </x:conditionalFormatting>
  <x:dataValidations count="3">
    <x:dataValidation type="list" sqref="C5:C34">
      <x:formula1>Lookups!$B$2:$B$5</x:formula1>
    </x:dataValidation>
    <x:dataValidation type="list" sqref="H5:H34">
      <x:formula1>Lookups!$C$2:$C$6</x:formula1>
    </x:dataValidation>
    <x:dataValidation type="list" sqref="I5:I34">
      <x:formula1>"Not Retested,Pass,Fail,Blocked"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539eaee46145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8" hidden="0" customWidth="1"/>
    <x:col min="6" max="6" width="46" hidden="0" customWidth="1"/>
    <x:col min="7" max="7" width="18" hidden="0" customWidth="1"/>
    <x:col min="8" max="8" width="20" hidden="0" customWidth="1"/>
    <x:col min="9" max="9" width="18" hidden="0" customWidth="1"/>
    <x:col min="10" max="10" width="16" hidden="0" customWidth="1"/>
    <x:col min="11" max="11" width="18" hidden="0" customWidth="1"/>
    <x:col min="12" max="12" width="34" hidden="0" customWidth="1"/>
  </x:cols>
  <x:sheetData>
    <x:row r="1" ht="36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Use controlled references and hashes; mask secrets and unnecessary personal data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" t="str">
        <x:v>Evidence ID</x:v>
      </x:c>
      <x:c r="B4" s="12" t="str">
        <x:v>UAT Case</x:v>
      </x:c>
      <x:c r="C4" s="12" t="str">
        <x:v>Run ID</x:v>
      </x:c>
      <x:c r="D4" s="12" t="str">
        <x:v>Type</x:v>
      </x:c>
      <x:c r="E4" s="12" t="str">
        <x:v>File / Controlled Link</x:v>
      </x:c>
      <x:c r="F4" s="12" t="str">
        <x:v>SHA-256</x:v>
      </x:c>
      <x:c r="G4" s="12" t="str">
        <x:v>Captured By</x:v>
      </x:c>
      <x:c r="H4" s="12" t="str">
        <x:v>Captured At</x:v>
      </x:c>
      <x:c r="I4" s="12" t="str">
        <x:v>Reviewer</x:v>
      </x:c>
      <x:c r="J4" s="12" t="str">
        <x:v>Review Date</x:v>
      </x:c>
      <x:c r="K4" s="12" t="str">
        <x:v>Classification</x:v>
      </x:c>
      <x:c r="L4" s="12" t="str">
        <x:v>Retention/Comment</x:v>
      </x:c>
    </x:row>
    <x:row r="5" ht="36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  <x:c r="K5" s="16" t="str"/>
      <x:c r="L5" s="16" t="str"/>
    </x:row>
    <x:row r="6" ht="36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</x:row>
    <x:row r="7" ht="36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</x:row>
    <x:row r="8" ht="36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</x:row>
    <x:row r="9" ht="36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</x:row>
    <x:row r="10" ht="36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 ht="36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</x:row>
    <x:row r="12" ht="36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 ht="36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 ht="36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 ht="36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</x:row>
    <x:row r="16" ht="36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</x:row>
    <x:row r="17" ht="36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</x:row>
    <x:row r="18" ht="36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</x:row>
    <x:row r="19" ht="36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</x:row>
    <x:row r="20" ht="36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 ht="36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 ht="36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</x:row>
    <x:row r="23" ht="36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</x:row>
    <x:row r="24" ht="36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</x:row>
    <x:row r="25" ht="36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</x:row>
    <x:row r="26" ht="36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</x:row>
    <x:row r="27" ht="36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</x:row>
    <x:row r="28" ht="36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</x:row>
    <x:row r="29" ht="36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</x:row>
    <x:row r="30" ht="36" customHeight="1">
      <x:c r="A30" s="16" t="str"/>
      <x:c r="B30" s="16" t="str"/>
      <x:c r="C30" s="16" t="str"/>
      <x:c r="D30" s="16" t="str"/>
      <x:c r="E30" s="16" t="str"/>
      <x:c r="F30" s="16" t="str"/>
      <x:c r="G30" s="16" t="str"/>
      <x:c r="H30" s="16" t="str"/>
      <x:c r="I30" s="16" t="str"/>
      <x:c r="J30" s="16" t="str"/>
      <x:c r="K30" s="16" t="str"/>
      <x:c r="L30" s="16" t="str"/>
    </x:row>
    <x:row r="31" ht="36" customHeight="1">
      <x:c r="A31" s="16" t="str"/>
      <x:c r="B31" s="16" t="str"/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6" t="str"/>
    </x:row>
    <x:row r="32" ht="36" customHeight="1">
      <x:c r="A32" s="16" t="str"/>
      <x:c r="B32" s="16" t="str"/>
      <x:c r="C32" s="16" t="str"/>
      <x:c r="D32" s="16" t="str"/>
      <x:c r="E32" s="16" t="str"/>
      <x:c r="F32" s="16" t="str"/>
      <x:c r="G32" s="16" t="str"/>
      <x:c r="H32" s="16" t="str"/>
      <x:c r="I32" s="16" t="str"/>
      <x:c r="J32" s="16" t="str"/>
      <x:c r="K32" s="16" t="str"/>
      <x:c r="L32" s="16" t="str"/>
    </x:row>
    <x:row r="33" ht="36" customHeight="1">
      <x:c r="A33" s="16" t="str"/>
      <x:c r="B33" s="16" t="str"/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6" t="str"/>
    </x:row>
    <x:row r="34" ht="36" customHeight="1">
      <x:c r="A34" s="16" t="str"/>
      <x:c r="B34" s="16" t="str"/>
      <x:c r="C34" s="16" t="str"/>
      <x:c r="D34" s="16" t="str"/>
      <x:c r="E34" s="16" t="str"/>
      <x:c r="F34" s="16" t="str"/>
      <x:c r="G34" s="16" t="str"/>
      <x:c r="H34" s="16" t="str"/>
      <x:c r="I34" s="16" t="str"/>
      <x:c r="J34" s="16" t="str"/>
      <x:c r="K34" s="16" t="str"/>
      <x:c r="L34" s="16" t="str"/>
    </x:row>
    <x:row r="35" ht="36" customHeight="1">
      <x:c r="A35" s="16" t="str"/>
      <x:c r="B35" s="16" t="str"/>
      <x:c r="C35" s="16" t="str"/>
      <x:c r="D35" s="16" t="str"/>
      <x:c r="E35" s="16" t="str"/>
      <x:c r="F35" s="16" t="str"/>
      <x:c r="G35" s="16" t="str"/>
      <x:c r="H35" s="16" t="str"/>
      <x:c r="I35" s="16" t="str"/>
      <x:c r="J35" s="16" t="str"/>
      <x:c r="K35" s="16" t="str"/>
      <x:c r="L35" s="16" t="str"/>
    </x:row>
    <x:row r="36" ht="36" customHeight="1">
      <x:c r="A36" s="16" t="str"/>
      <x:c r="B36" s="16" t="str"/>
      <x:c r="C36" s="16" t="str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6" t="str"/>
    </x:row>
    <x:row r="37" ht="36" customHeight="1">
      <x:c r="A37" s="16" t="str"/>
      <x:c r="B37" s="16" t="str"/>
      <x:c r="C37" s="16" t="str"/>
      <x:c r="D37" s="16" t="str"/>
      <x:c r="E37" s="16" t="str"/>
      <x:c r="F37" s="16" t="str"/>
      <x:c r="G37" s="16" t="str"/>
      <x:c r="H37" s="16" t="str"/>
      <x:c r="I37" s="16" t="str"/>
      <x:c r="J37" s="16" t="str"/>
      <x:c r="K37" s="16" t="str"/>
      <x:c r="L37" s="16" t="str"/>
    </x:row>
    <x:row r="38" ht="36" customHeight="1">
      <x:c r="A38" s="16" t="str"/>
      <x:c r="B38" s="16" t="str"/>
      <x:c r="C38" s="16" t="str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  <x:c r="L38" s="16" t="str"/>
    </x:row>
    <x:row r="39" ht="36" customHeight="1">
      <x:c r="A39" s="16" t="str"/>
      <x:c r="B39" s="16" t="str"/>
      <x:c r="C39" s="16" t="str"/>
      <x:c r="D39" s="16" t="str"/>
      <x:c r="E39" s="16" t="str"/>
      <x:c r="F39" s="16" t="str"/>
      <x:c r="G39" s="16" t="str"/>
      <x:c r="H39" s="16" t="str"/>
      <x:c r="I39" s="16" t="str"/>
      <x:c r="J39" s="16" t="str"/>
      <x:c r="K39" s="16" t="str"/>
      <x:c r="L39" s="16" t="str"/>
    </x:row>
    <x:row r="40" ht="36" customHeight="1">
      <x:c r="A40" s="16" t="str"/>
      <x:c r="B40" s="16" t="str"/>
      <x:c r="C40" s="16" t="str"/>
      <x:c r="D40" s="16" t="str"/>
      <x:c r="E40" s="16" t="str"/>
      <x:c r="F40" s="16" t="str"/>
      <x:c r="G40" s="16" t="str"/>
      <x:c r="H40" s="16" t="str"/>
      <x:c r="I40" s="16" t="str"/>
      <x:c r="J40" s="16" t="str"/>
      <x:c r="K40" s="16" t="str"/>
      <x:c r="L40" s="16" t="str"/>
    </x:row>
    <x:row r="41" ht="36" customHeight="1">
      <x:c r="A41" s="16" t="str"/>
      <x:c r="B41" s="16" t="str"/>
      <x:c r="C41" s="16" t="str"/>
      <x:c r="D41" s="16" t="str"/>
      <x:c r="E41" s="16" t="str"/>
      <x:c r="F41" s="16" t="str"/>
      <x:c r="G41" s="16" t="str"/>
      <x:c r="H41" s="16" t="str"/>
      <x:c r="I41" s="16" t="str"/>
      <x:c r="J41" s="16" t="str"/>
      <x:c r="K41" s="16" t="str"/>
      <x:c r="L41" s="16" t="str"/>
    </x:row>
    <x:row r="42" ht="36" customHeight="1">
      <x:c r="A42" s="16" t="str"/>
      <x:c r="B42" s="16" t="str"/>
      <x:c r="C42" s="16" t="str"/>
      <x:c r="D42" s="16" t="str"/>
      <x:c r="E42" s="16" t="str"/>
      <x:c r="F42" s="16" t="str"/>
      <x:c r="G42" s="16" t="str"/>
      <x:c r="H42" s="16" t="str"/>
      <x:c r="I42" s="16" t="str"/>
      <x:c r="J42" s="16" t="str"/>
      <x:c r="K42" s="16" t="str"/>
      <x:c r="L42" s="16" t="str"/>
    </x:row>
    <x:row r="43" ht="36" customHeight="1">
      <x:c r="A43" s="16" t="str"/>
      <x:c r="B43" s="16" t="str"/>
      <x:c r="C43" s="16" t="str"/>
      <x:c r="D43" s="16" t="str"/>
      <x:c r="E43" s="16" t="str"/>
      <x:c r="F43" s="16" t="str"/>
      <x:c r="G43" s="16" t="str"/>
      <x:c r="H43" s="16" t="str"/>
      <x:c r="I43" s="16" t="str"/>
      <x:c r="J43" s="16" t="str"/>
      <x:c r="K43" s="16" t="str"/>
      <x:c r="L43" s="16" t="str"/>
    </x:row>
    <x:row r="44" ht="36" customHeight="1">
      <x:c r="A44" s="16" t="str"/>
      <x:c r="B44" s="16" t="str"/>
      <x:c r="C44" s="16" t="str"/>
      <x:c r="D44" s="16" t="str"/>
      <x:c r="E44" s="16" t="str"/>
      <x:c r="F44" s="16" t="str"/>
      <x:c r="G44" s="16" t="str"/>
      <x:c r="H44" s="16" t="str"/>
      <x:c r="I44" s="16" t="str"/>
      <x:c r="J44" s="16" t="str"/>
      <x:c r="K44" s="16" t="str"/>
      <x:c r="L44" s="16" t="str"/>
    </x:row>
    <x:row r="45" ht="36" customHeight="1">
      <x:c r="A45" s="16" t="str"/>
      <x:c r="B45" s="16" t="str"/>
      <x:c r="C45" s="16" t="str"/>
      <x:c r="D45" s="16" t="str"/>
      <x:c r="E45" s="16" t="str"/>
      <x:c r="F45" s="16" t="str"/>
      <x:c r="G45" s="16" t="str"/>
      <x:c r="H45" s="16" t="str"/>
      <x:c r="I45" s="16" t="str"/>
      <x:c r="J45" s="16" t="str"/>
      <x:c r="K45" s="16" t="str"/>
      <x:c r="L45" s="16" t="str"/>
    </x:row>
    <x:row r="46" ht="36" customHeight="1">
      <x:c r="A46" s="16" t="str"/>
      <x:c r="B46" s="16" t="str"/>
      <x:c r="C46" s="16" t="str"/>
      <x:c r="D46" s="16" t="str"/>
      <x:c r="E46" s="16" t="str"/>
      <x:c r="F46" s="16" t="str"/>
      <x:c r="G46" s="16" t="str"/>
      <x:c r="H46" s="16" t="str"/>
      <x:c r="I46" s="16" t="str"/>
      <x:c r="J46" s="16" t="str"/>
      <x:c r="K46" s="16" t="str"/>
      <x:c r="L46" s="16" t="str"/>
    </x:row>
    <x:row r="47" ht="36" customHeight="1">
      <x:c r="A47" s="16" t="str"/>
      <x:c r="B47" s="16" t="str"/>
      <x:c r="C47" s="16" t="str"/>
      <x:c r="D47" s="16" t="str"/>
      <x:c r="E47" s="16" t="str"/>
      <x:c r="F47" s="16" t="str"/>
      <x:c r="G47" s="16" t="str"/>
      <x:c r="H47" s="16" t="str"/>
      <x:c r="I47" s="16" t="str"/>
      <x:c r="J47" s="16" t="str"/>
      <x:c r="K47" s="16" t="str"/>
      <x:c r="L47" s="16" t="str"/>
    </x:row>
    <x:row r="48" ht="36" customHeight="1">
      <x:c r="A48" s="16" t="str"/>
      <x:c r="B48" s="16" t="str"/>
      <x:c r="C48" s="16" t="str"/>
      <x:c r="D48" s="16" t="str"/>
      <x:c r="E48" s="16" t="str"/>
      <x:c r="F48" s="16" t="str"/>
      <x:c r="G48" s="16" t="str"/>
      <x:c r="H48" s="16" t="str"/>
      <x:c r="I48" s="16" t="str"/>
      <x:c r="J48" s="16" t="str"/>
      <x:c r="K48" s="16" t="str"/>
      <x:c r="L48" s="16" t="str"/>
    </x:row>
    <x:row r="49" ht="36" customHeight="1">
      <x:c r="A49" s="16" t="str"/>
      <x:c r="B49" s="16" t="str"/>
      <x:c r="C49" s="16" t="str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6" t="str"/>
    </x:row>
    <x:row r="50" ht="36" customHeight="1">
      <x:c r="A50" s="16" t="str"/>
      <x:c r="B50" s="16" t="str"/>
      <x:c r="C50" s="16" t="str"/>
      <x:c r="D50" s="16" t="str"/>
      <x:c r="E50" s="16" t="str"/>
      <x:c r="F50" s="16" t="str"/>
      <x:c r="G50" s="16" t="str"/>
      <x:c r="H50" s="16" t="str"/>
      <x:c r="I50" s="16" t="str"/>
      <x:c r="J50" s="16" t="str"/>
      <x:c r="K50" s="16" t="str"/>
      <x:c r="L50" s="16" t="str"/>
    </x:row>
    <x:row r="51" ht="36" customHeight="1">
      <x:c r="A51" s="16" t="str"/>
      <x:c r="B51" s="16" t="str"/>
      <x:c r="C51" s="16" t="str"/>
      <x:c r="D51" s="16" t="str"/>
      <x:c r="E51" s="16" t="str"/>
      <x:c r="F51" s="16" t="str"/>
      <x:c r="G51" s="16" t="str"/>
      <x:c r="H51" s="16" t="str"/>
      <x:c r="I51" s="16" t="str"/>
      <x:c r="J51" s="16" t="str"/>
      <x:c r="K51" s="16" t="str"/>
      <x:c r="L51" s="16" t="str"/>
    </x:row>
    <x:row r="52" ht="36" customHeight="1">
      <x:c r="A52" s="16" t="str"/>
      <x:c r="B52" s="16" t="str"/>
      <x:c r="C52" s="16" t="str"/>
      <x:c r="D52" s="16" t="str"/>
      <x:c r="E52" s="16" t="str"/>
      <x:c r="F52" s="16" t="str"/>
      <x:c r="G52" s="16" t="str"/>
      <x:c r="H52" s="16" t="str"/>
      <x:c r="I52" s="16" t="str"/>
      <x:c r="J52" s="16" t="str"/>
      <x:c r="K52" s="16" t="str"/>
      <x:c r="L52" s="16" t="str"/>
    </x:row>
    <x:row r="53" ht="36" customHeight="1">
      <x:c r="A53" s="16" t="str"/>
      <x:c r="B53" s="16" t="str"/>
      <x:c r="C53" s="16" t="str"/>
      <x:c r="D53" s="16" t="str"/>
      <x:c r="E53" s="16" t="str"/>
      <x:c r="F53" s="16" t="str"/>
      <x:c r="G53" s="16" t="str"/>
      <x:c r="H53" s="16" t="str"/>
      <x:c r="I53" s="16" t="str"/>
      <x:c r="J53" s="16" t="str"/>
      <x:c r="K53" s="16" t="str"/>
      <x:c r="L53" s="16" t="str"/>
    </x:row>
    <x:row r="54" ht="36" customHeight="1">
      <x:c r="A54" s="16" t="str"/>
      <x:c r="B54" s="16" t="str"/>
      <x:c r="C54" s="16" t="str"/>
      <x:c r="D54" s="16" t="str"/>
      <x:c r="E54" s="16" t="str"/>
      <x:c r="F54" s="16" t="str"/>
      <x:c r="G54" s="16" t="str"/>
      <x:c r="H54" s="16" t="str"/>
      <x:c r="I54" s="16" t="str"/>
      <x:c r="J54" s="16" t="str"/>
      <x:c r="K54" s="16" t="str"/>
      <x:c r="L54" s="16" t="str"/>
    </x:row>
  </x:sheetData>
  <x:mergeCells>
    <x:mergeCell ref="A1:L1"/>
    <x:mergeCell ref="A2:L2"/>
  </x:mergeCells>
  <x:dataValidations count="2">
    <x:dataValidation type="list" sqref="D5:D54">
      <x:formula1>Lookups!$E$2:$E$8</x:formula1>
    </x:dataValidation>
    <x:dataValidation type="list" sqref="K5:K54">
      <x:formula1>"Confidential,Internal,Public"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2d320f1e6a470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0" hidden="0" customWidth="1"/>
    <x:col min="4" max="4" width="20" hidden="0" customWidth="1"/>
    <x:col min="5" max="5" width="16" hidden="0" customWidth="1"/>
    <x:col min="6" max="6" width="34" hidden="0" customWidth="1"/>
    <x:col min="7" max="7" width="32" hidden="0" customWidth="1"/>
    <x:col min="8" max="8" width="16" hidden="0" customWidth="1"/>
    <x:col min="9" max="9" width="14" hidden="0" customWidth="1"/>
  </x:cols>
  <x:sheetData>
    <x:row r="1" ht="36" customHeight="1">
      <x:c r="A1" s="3" t="str">
        <x:v>UAT Sign-off &amp; Go/No-Go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Blank name/date/evidence means the gate is not passed</x:v>
      </x:c>
      <x:c r="B2" s="7"/>
      <x:c r="C2" s="7"/>
      <x:c r="D2" s="7"/>
      <x:c r="E2" s="7"/>
      <x:c r="F2" s="7"/>
      <x:c r="G2" s="7"/>
      <x:c r="H2" s="7"/>
      <x:c r="I2" s="7"/>
    </x:row>
    <x:row r="4" ht="24" customHeight="1">
      <x:c r="A4" s="18" t="str">
        <x:v>Decision criteria</x:v>
      </x:c>
      <x:c r="B4" s="18"/>
      <x:c r="C4" s="18"/>
      <x:c r="D4" s="18"/>
      <x:c r="E4" s="18"/>
      <x:c r="F4" s="18"/>
      <x:c r="G4" s="18"/>
      <x:c r="H4" s="18"/>
      <x:c r="I4" s="18"/>
    </x:row>
    <x:row r="5">
      <x:c r="A5" s="12" t="str">
        <x:v>Gate</x:v>
      </x:c>
      <x:c r="B5" s="12" t="str">
        <x:v>Rule</x:v>
      </x:c>
      <x:c r="C5" s="12" t="str">
        <x:v>Result</x:v>
      </x:c>
      <x:c r="D5" s="12" t="str">
        <x:v>Evidence</x:v>
      </x:c>
      <x:c r="E5" s="12" t="str">
        <x:v>Owner</x:v>
      </x:c>
      <x:c r="F5" s="12" t="str">
        <x:v>Reviewer</x:v>
      </x:c>
      <x:c r="G5" s="12" t="str">
        <x:v>Review date</x:v>
      </x:c>
      <x:c r="H5" s="12" t="str">
        <x:v>Risk/Exception</x:v>
      </x:c>
      <x:c r="I5" s="12" t="str">
        <x:v>Decision</x:v>
      </x:c>
    </x:row>
    <x:row r="6">
      <x:c r="A6" s="16" t="str">
        <x:v>Critical cases</x:v>
      </x:c>
      <x:c r="B6" s="16" t="str">
        <x:v>100% Pass</x:v>
      </x:c>
      <x:c r="C6" s="16" t="str"/>
      <x:c r="D6" s="16" t="str"/>
      <x:c r="E6" s="16" t="str">
        <x:v>QA Lead</x:v>
      </x:c>
      <x:c r="F6" s="16" t="str"/>
      <x:c r="G6" s="16" t="str"/>
      <x:c r="H6" s="16" t="str"/>
      <x:c r="I6" s="16" t="str">
        <x:v>Pending</x:v>
      </x:c>
    </x:row>
    <x:row r="7">
      <x:c r="A7" s="16" t="str">
        <x:v>Overall cases</x:v>
      </x:c>
      <x:c r="B7" s="16" t="str">
        <x:v>&gt;= 90% Pass</x:v>
      </x:c>
      <x:c r="C7" s="16" t="str"/>
      <x:c r="D7" s="16" t="str"/>
      <x:c r="E7" s="16" t="str">
        <x:v>QA Lead</x:v>
      </x:c>
      <x:c r="F7" s="16" t="str"/>
      <x:c r="G7" s="16" t="str"/>
      <x:c r="H7" s="16" t="str"/>
      <x:c r="I7" s="16" t="str">
        <x:v>Pending</x:v>
      </x:c>
    </x:row>
    <x:row r="8">
      <x:c r="A8" s="16" t="str">
        <x:v>Open defects</x:v>
      </x:c>
      <x:c r="B8" s="16" t="str">
        <x:v>No Sev-1/Sev-2</x:v>
      </x:c>
      <x:c r="C8" s="16" t="str"/>
      <x:c r="D8" s="16" t="str"/>
      <x:c r="E8" s="16" t="str">
        <x:v>QA + Owners</x:v>
      </x:c>
      <x:c r="F8" s="16" t="str"/>
      <x:c r="G8" s="16" t="str"/>
      <x:c r="H8" s="16" t="str"/>
      <x:c r="I8" s="16" t="str">
        <x:v>Pending</x:v>
      </x:c>
    </x:row>
    <x:row r="10" ht="24" customHeight="1">
      <x:c r="A10" s="18" t="str">
        <x:v>Required approvals</x:v>
      </x:c>
      <x:c r="B10" s="18"/>
      <x:c r="C10" s="18"/>
      <x:c r="D10" s="18"/>
      <x:c r="E10" s="18"/>
      <x:c r="F10" s="18"/>
      <x:c r="G10" s="18"/>
      <x:c r="H10" s="18"/>
      <x:c r="I10" s="18"/>
    </x:row>
    <x:row r="11">
      <x:c r="A11" s="12" t="str">
        <x:v>Role</x:v>
      </x:c>
      <x:c r="B11" s="12" t="str">
        <x:v>Name</x:v>
      </x:c>
      <x:c r="C11" s="12" t="str">
        <x:v>Scope</x:v>
      </x:c>
      <x:c r="D11" s="12" t="str">
        <x:v>Decision</x:v>
      </x:c>
      <x:c r="E11" s="12" t="str">
        <x:v>Date</x:v>
      </x:c>
      <x:c r="F11" s="12" t="str">
        <x:v>Evidence / Signature</x:v>
      </x:c>
      <x:c r="G11" s="12" t="str">
        <x:v>Conditions</x:v>
      </x:c>
      <x:c r="H11" s="12" t="str">
        <x:v>Due Date</x:v>
      </x:c>
      <x:c r="I11" s="12" t="str">
        <x:v>Status</x:v>
      </x:c>
    </x:row>
    <x:row r="12">
      <x:c r="A12" s="16" t="str">
        <x:v>Sales Process Owner</x:v>
      </x:c>
      <x:c r="B12" s="16" t="str"/>
      <x:c r="C12" s="16" t="str">
        <x:v>Sales/customer/order</x:v>
      </x:c>
      <x:c r="D12" s="16" t="str">
        <x:v>Pending</x:v>
      </x:c>
      <x:c r="E12" s="16" t="str"/>
      <x:c r="F12" s="16" t="str"/>
      <x:c r="G12" s="16" t="str"/>
      <x:c r="H12" s="16" t="str"/>
      <x:c r="I12" s="16" t="str">
        <x:v>Open</x:v>
      </x:c>
    </x:row>
    <x:row r="13">
      <x:c r="A13" s="16" t="str">
        <x:v>Manager/Admin Owner</x:v>
      </x:c>
      <x:c r="B13" s="16" t="str"/>
      <x:c r="C13" s="16" t="str">
        <x:v>Approval/audit</x:v>
      </x:c>
      <x:c r="D13" s="16" t="str">
        <x:v>Pending</x:v>
      </x:c>
      <x:c r="E13" s="16" t="str"/>
      <x:c r="F13" s="16" t="str"/>
      <x:c r="G13" s="16" t="str"/>
      <x:c r="H13" s="16" t="str"/>
      <x:c r="I13" s="16" t="str">
        <x:v>Open</x:v>
      </x:c>
    </x:row>
    <x:row r="14">
      <x:c r="A14" s="16" t="str">
        <x:v>Counter/Weighbridge Owner</x:v>
      </x:c>
      <x:c r="B14" s="16" t="str"/>
      <x:c r="C14" s="16" t="str">
        <x:v>TruckScale/queue</x:v>
      </x:c>
      <x:c r="D14" s="16" t="str">
        <x:v>Pending</x:v>
      </x:c>
      <x:c r="E14" s="16" t="str"/>
      <x:c r="F14" s="16" t="str"/>
      <x:c r="G14" s="16" t="str"/>
      <x:c r="H14" s="16" t="str"/>
      <x:c r="I14" s="16" t="str">
        <x:v>Open</x:v>
      </x:c>
    </x:row>
    <x:row r="15">
      <x:c r="A15" s="16" t="str">
        <x:v>Warehouse Owner</x:v>
      </x:c>
      <x:c r="B15" s="16" t="str"/>
      <x:c r="C15" s="16" t="str">
        <x:v>Pick/load/ship</x:v>
      </x:c>
      <x:c r="D15" s="16" t="str">
        <x:v>Pending</x:v>
      </x:c>
      <x:c r="E15" s="16" t="str"/>
      <x:c r="F15" s="16" t="str"/>
      <x:c r="G15" s="16" t="str"/>
      <x:c r="H15" s="16" t="str"/>
      <x:c r="I15" s="16" t="str">
        <x:v>Open</x:v>
      </x:c>
    </x:row>
    <x:row r="16">
      <x:c r="A16" s="16" t="str">
        <x:v>Accounting/WINSpeed Owner</x:v>
      </x:c>
      <x:c r="B16" s="16" t="str"/>
      <x:c r="C16" s="16" t="str">
        <x:v>Reconciliation/rebate/CN</x:v>
      </x:c>
      <x:c r="D16" s="16" t="str">
        <x:v>Pending</x:v>
      </x:c>
      <x:c r="E16" s="16" t="str"/>
      <x:c r="F16" s="16" t="str"/>
      <x:c r="G16" s="16" t="str"/>
      <x:c r="H16" s="16" t="str"/>
      <x:c r="I16" s="16" t="str">
        <x:v>Open</x:v>
      </x:c>
    </x:row>
    <x:row r="17">
      <x:c r="A17" s="16" t="str">
        <x:v>IT/Security/Operations</x:v>
      </x:c>
      <x:c r="B17" s="16" t="str"/>
      <x:c r="C17" s="16" t="str">
        <x:v>Security/performance/BCP</x:v>
      </x:c>
      <x:c r="D17" s="16" t="str">
        <x:v>Pending</x:v>
      </x:c>
      <x:c r="E17" s="16" t="str"/>
      <x:c r="F17" s="16" t="str"/>
      <x:c r="G17" s="16" t="str"/>
      <x:c r="H17" s="16" t="str"/>
      <x:c r="I17" s="16" t="str">
        <x:v>Open</x:v>
      </x:c>
    </x:row>
    <x:row r="18">
      <x:c r="A18" s="16" t="str">
        <x:v>QA Lead</x:v>
      </x:c>
      <x:c r="B18" s="16" t="str"/>
      <x:c r="C18" s="16" t="str">
        <x:v>Test/evidence/defects</x:v>
      </x:c>
      <x:c r="D18" s="16" t="str">
        <x:v>Pending</x:v>
      </x:c>
      <x:c r="E18" s="16" t="str"/>
      <x:c r="F18" s="16" t="str"/>
      <x:c r="G18" s="16" t="str"/>
      <x:c r="H18" s="16" t="str"/>
      <x:c r="I18" s="16" t="str">
        <x:v>Open</x:v>
      </x:c>
    </x:row>
    <x:row r="19">
      <x:c r="A19" s="16" t="str">
        <x:v>Business Sponsor</x:v>
      </x:c>
      <x:c r="B19" s="16" t="str"/>
      <x:c r="C19" s="16" t="str">
        <x:v>Final Go/No-Go</x:v>
      </x:c>
      <x:c r="D19" s="16" t="str">
        <x:v>Pending</x:v>
      </x:c>
      <x:c r="E19" s="16" t="str"/>
      <x:c r="F19" s="16" t="str"/>
      <x:c r="G19" s="16" t="str"/>
      <x:c r="H19" s="16" t="str"/>
      <x:c r="I19" s="16" t="str">
        <x:v>Open</x:v>
      </x:c>
    </x:row>
    <x:row r="21" ht="24" customHeight="1">
      <x:c r="A21" s="18" t="str">
        <x:v>Final decision</x:v>
      </x:c>
      <x:c r="B21" s="18"/>
      <x:c r="C21" s="18"/>
      <x:c r="D21" s="18"/>
      <x:c r="E21" s="18"/>
      <x:c r="F21" s="18"/>
      <x:c r="G21" s="18"/>
      <x:c r="H21" s="18"/>
      <x:c r="I21" s="18"/>
    </x:row>
    <x:row r="22">
      <x:c r="A22" s="25" t="str">
        <x:v>Decision</x:v>
      </x:c>
      <x:c r="B22" s="16" t="str">
        <x:v>Pending</x:v>
      </x:c>
      <x:c r="C22" s="25" t="str">
        <x:v>Decision date</x:v>
      </x:c>
      <x:c r="D22" s="16" t="str"/>
      <x:c r="E22" s="25" t="str">
        <x:v>Effective build</x:v>
      </x:c>
      <x:c r="F22" s="16" t="str"/>
      <x:c r="G22" s="25" t="str">
        <x:v>Approver</x:v>
      </x:c>
      <x:c r="H22" s="16" t="str"/>
      <x:c r="I22" s="16" t="str"/>
    </x:row>
    <x:row r="23">
      <x:c r="A23" s="16" t="str">
        <x:v>Conditions / residual risks</x:v>
      </x:c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</x:row>
    <x:row r="24">
      <x:c r="A24" s="16" t="str">
        <x:v>Rollback / contingency reference</x:v>
      </x:c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</x:row>
    <x:row r="25">
      <x:c r="A25" s="16" t="str">
        <x:v>Decision evidence / meeting record</x:v>
      </x:c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</x:row>
  </x:sheetData>
  <x:mergeCells>
    <x:mergeCell ref="A1:I1"/>
    <x:mergeCell ref="A2:I2"/>
    <x:mergeCell ref="A4:I4"/>
    <x:mergeCell ref="A10:I10"/>
    <x:mergeCell ref="A21:I21"/>
    <x:mergeCell ref="B23:I23"/>
    <x:mergeCell ref="B24:I24"/>
    <x:mergeCell ref="B25:I25"/>
  </x:mergeCells>
  <x:dataValidations count="4">
    <x:dataValidation type="list" sqref="I6:I8">
      <x:formula1>"Pending,Pass,Fail,Waived"</x:formula1>
    </x:dataValidation>
    <x:dataValidation type="list" sqref="D12:D19">
      <x:formula1>Lookups!$D$2:$D$5</x:formula1>
    </x:dataValidation>
    <x:dataValidation type="list" sqref="I12:I19">
      <x:formula1>"Open,Complete,Rejected"</x:formula1>
    </x:dataValidation>
    <x:dataValidation type="list" sqref="B22">
      <x:formula1>"Pending,Go,Conditional Go,No-Go"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6" customHeight="1">
      <x:c r="A1" s="3" t="str">
        <x:v>Controlled Lookups</x:v>
      </x:c>
      <x:c r="B1" s="3"/>
      <x:c r="C1" s="3"/>
      <x:c r="D1" s="3"/>
      <x:c r="E1" s="3"/>
      <x:c r="F1" s="3"/>
    </x:row>
    <x:row r="2" ht="30" customHeight="1">
      <x:c r="A2" s="7" t="str">
        <x:v>Values used by data validation — change only through reviewed source/template update</x:v>
      </x:c>
      <x:c r="B2" s="7"/>
      <x:c r="C2" s="7"/>
      <x:c r="D2" s="7"/>
      <x:c r="E2" s="7"/>
      <x:c r="F2" s="7"/>
    </x:row>
    <x:row r="4">
      <x:c r="A4" s="12" t="str">
        <x:v>UAT Status</x:v>
      </x:c>
      <x:c r="B4" s="12" t="str">
        <x:v>Severity</x:v>
      </x:c>
      <x:c r="C4" s="12" t="str">
        <x:v>Defect Status</x:v>
      </x:c>
      <x:c r="D4" s="12" t="str">
        <x:v>Decision</x:v>
      </x:c>
      <x:c r="E4" s="12" t="str">
        <x:v>Evidence Type</x:v>
      </x:c>
      <x:c r="F4" s="12" t="str">
        <x:v>Critical</x:v>
      </x:c>
    </x:row>
    <x:row r="5">
      <x:c r="A5" s="16" t="str">
        <x:v>Not Run</x:v>
      </x:c>
      <x:c r="B5" s="16" t="str">
        <x:v>Sev-1</x:v>
      </x:c>
      <x:c r="C5" s="16" t="str">
        <x:v>Open</x:v>
      </x:c>
      <x:c r="D5" s="16" t="str">
        <x:v>Pending</x:v>
      </x:c>
      <x:c r="E5" s="16" t="str">
        <x:v>Screenshot</x:v>
      </x:c>
      <x:c r="F5" s="16" t="str">
        <x:v>Yes</x:v>
      </x:c>
    </x:row>
    <x:row r="6">
      <x:c r="A6" s="16" t="str">
        <x:v>Pass</x:v>
      </x:c>
      <x:c r="B6" s="16" t="str">
        <x:v>Sev-2</x:v>
      </x:c>
      <x:c r="C6" s="16" t="str">
        <x:v>In Progress</x:v>
      </x:c>
      <x:c r="D6" s="16" t="str">
        <x:v>Accept</x:v>
      </x:c>
      <x:c r="E6" s="16" t="str">
        <x:v>Playwright Attachment</x:v>
      </x:c>
      <x:c r="F6" s="16" t="str">
        <x:v>No</x:v>
      </x:c>
    </x:row>
    <x:row r="7">
      <x:c r="A7" s="16" t="str">
        <x:v>Fail</x:v>
      </x:c>
      <x:c r="B7" s="16" t="str">
        <x:v>Sev-3</x:v>
      </x:c>
      <x:c r="C7" s="16" t="str">
        <x:v>Ready for Retest</x:v>
      </x:c>
      <x:c r="D7" s="16" t="str">
        <x:v>Conditional Accept</x:v>
      </x:c>
      <x:c r="E7" s="16" t="str">
        <x:v>API/Query Extract</x:v>
      </x:c>
      <x:c r="F7" s="16" t="str"/>
    </x:row>
    <x:row r="8">
      <x:c r="A8" s="16" t="str">
        <x:v>Blocked</x:v>
      </x:c>
      <x:c r="B8" s="16" t="str">
        <x:v>Sev-4</x:v>
      </x:c>
      <x:c r="C8" s="16" t="str">
        <x:v>Closed</x:v>
      </x:c>
      <x:c r="D8" s="16" t="str">
        <x:v>Reject</x:v>
      </x:c>
      <x:c r="E8" s="16" t="str">
        <x:v>Log</x:v>
      </x:c>
      <x:c r="F8" s="16" t="str"/>
    </x:row>
    <x:row r="9">
      <x:c r="A9" s="16" t="str">
        <x:v>N/A</x:v>
      </x:c>
      <x:c r="B9" s="16" t="str"/>
      <x:c r="C9" s="16" t="str">
        <x:v>Rejected</x:v>
      </x:c>
      <x:c r="D9" s="16" t="str"/>
      <x:c r="E9" s="16" t="str">
        <x:v>Reconciliation</x:v>
      </x:c>
      <x:c r="F9" s="16" t="str"/>
    </x:row>
    <x:row r="10">
      <x:c r="A10" s="16" t="str"/>
      <x:c r="B10" s="16" t="str"/>
      <x:c r="C10" s="16" t="str"/>
      <x:c r="D10" s="16" t="str"/>
      <x:c r="E10" s="16" t="str">
        <x:v>Signed Form</x:v>
      </x:c>
      <x:c r="F10" s="16" t="str"/>
    </x:row>
    <x:row r="11">
      <x:c r="A11" s="16" t="str"/>
      <x:c r="B11" s="16" t="str"/>
      <x:c r="C11" s="16" t="str"/>
      <x:c r="D11" s="16" t="str"/>
      <x:c r="E11" s="16" t="str">
        <x:v>Other</x:v>
      </x:c>
      <x:c r="F11" s="16" t="str"/>
    </x:row>
  </x:sheetData>
  <x:mergeCells>
    <x:mergeCell ref="A1:F1"/>
    <x:mergeCell ref="A2:F2"/>
  </x:mergeCells>
  <x:pageMargins left="0.7" right="0.7" top="0.75" bottom="0.75" header="0.3" footer="0.3"/>
</x:worksheet>
</file>